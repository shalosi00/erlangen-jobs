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tings" sheetId="1" state="visible" r:id="rId3"/>
    <sheet name="Summary" sheetId="2" state="visible" r:id="rId4"/>
    <sheet name="Review" sheetId="3" state="visible" r:id="rId5"/>
  </sheets>
  <definedNames>
    <definedName function="false" hidden="true" localSheetId="0" name="_xlnm._FilterDatabase" vbProcedure="false">Postings!$B$4:$N$49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<sst xmlns="http://schemas.openxmlformats.org/spreadsheetml/2006/main" count="359" uniqueCount="193">
  <si>
    <t xml:space="preserve">FISI / Junior IT - First Job after Ausbildung</t>
  </si>
  <si>
    <t xml:space="preserve">Erlangen + 50 km - posted within last 14 days - generated 2026-10-12 - sources: BA Jobsuche v6, Indeed DE (JobSpy), LinkedIn guest, Arbeitnow</t>
  </si>
  <si>
    <t xml:space="preserve">Date</t>
  </si>
  <si>
    <t xml:space="preserve">Title</t>
  </si>
  <si>
    <t xml:space="preserve">Company</t>
  </si>
  <si>
    <t xml:space="preserve">City</t>
  </si>
  <si>
    <t xml:space="preserve">PLZ</t>
  </si>
  <si>
    <t xml:space="preserve">Source</t>
  </si>
  <si>
    <t xml:space="preserve">Salary Min</t>
  </si>
  <si>
    <t xml:space="preserve">Salary Max</t>
  </si>
  <si>
    <t xml:space="preserve">Currency</t>
  </si>
  <si>
    <t xml:space="preserve">Remote</t>
  </si>
  <si>
    <t xml:space="preserve">Junior</t>
  </si>
  <si>
    <t xml:space="preserve">URL</t>
  </si>
  <si>
    <t xml:space="preserve">Ref Nr</t>
  </si>
  <si>
    <t xml:space="preserve">Systemadministrator (m/w/d)</t>
  </si>
  <si>
    <t xml:space="preserve">OmniNet GmbH</t>
  </si>
  <si>
    <t xml:space="preserve">Eckental</t>
  </si>
  <si>
    <t xml:space="preserve">90542</t>
  </si>
  <si>
    <t xml:space="preserve">BA</t>
  </si>
  <si>
    <t xml:space="preserve">open</t>
  </si>
  <si>
    <t xml:space="preserve">12117-YF-49468-YF-S</t>
  </si>
  <si>
    <t xml:space="preserve">IT Systemadministrator Microsoft 365 (m/w/d)</t>
  </si>
  <si>
    <t xml:space="preserve">Funkwerk Systems GmbH</t>
  </si>
  <si>
    <t xml:space="preserve">Nürnberg</t>
  </si>
  <si>
    <t xml:space="preserve">LinkedIn</t>
  </si>
  <si>
    <t xml:space="preserve">HÖRMANN Gruppe</t>
  </si>
  <si>
    <t xml:space="preserve">Systemadministrator (gn) im Second Level Support</t>
  </si>
  <si>
    <t xml:space="preserve">Papp Personal GmbH   Co. KG</t>
  </si>
  <si>
    <t xml:space="preserve">90427</t>
  </si>
  <si>
    <t xml:space="preserve">14274-L4JY2HU63IRWLAXG-S</t>
  </si>
  <si>
    <t xml:space="preserve">Fachinformatiker Systemintegration (m/w/d)</t>
  </si>
  <si>
    <t xml:space="preserve">ncsolution GmbH</t>
  </si>
  <si>
    <t xml:space="preserve">Erlangen</t>
  </si>
  <si>
    <t xml:space="preserve">10001-1003832993-S</t>
  </si>
  <si>
    <t xml:space="preserve">ANG GmbH</t>
  </si>
  <si>
    <t xml:space="preserve">10001-1003834249-S</t>
  </si>
  <si>
    <t xml:space="preserve">Junior IT- System Administrator (m/w/d)</t>
  </si>
  <si>
    <t xml:space="preserve">Neumüller Personalberatung Regina Neumüller e.K.</t>
  </si>
  <si>
    <t xml:space="preserve">90425</t>
  </si>
  <si>
    <t xml:space="preserve">yes</t>
  </si>
  <si>
    <t xml:space="preserve">10001-1003830628-S</t>
  </si>
  <si>
    <t xml:space="preserve">Mitarbeiter IT-Support | Administration | Projekte (m/w/d)</t>
  </si>
  <si>
    <t xml:space="preserve">NConsult GmbH</t>
  </si>
  <si>
    <t xml:space="preserve">10001-1003830762-S</t>
  </si>
  <si>
    <t xml:space="preserve">1st Level Supporter (m/w/d)</t>
  </si>
  <si>
    <t xml:space="preserve">Bamberg</t>
  </si>
  <si>
    <t xml:space="preserve">10001-1003830672-S</t>
  </si>
  <si>
    <t xml:space="preserve">IT Specialist (m/w/d) - Clientmanagement</t>
  </si>
  <si>
    <t xml:space="preserve">Röthenbach an der Pegnitz</t>
  </si>
  <si>
    <t xml:space="preserve">90552</t>
  </si>
  <si>
    <t xml:space="preserve">10001-1003831106-S</t>
  </si>
  <si>
    <t xml:space="preserve">IT-Systemadministrator (m/w/d)</t>
  </si>
  <si>
    <t xml:space="preserve">Akkodis Germany Tech Experts GmbH</t>
  </si>
  <si>
    <t xml:space="preserve">90489</t>
  </si>
  <si>
    <t xml:space="preserve">12634-BB-646012-7878-6530-S</t>
  </si>
  <si>
    <t xml:space="preserve">IT Systemadministrator (m/w/d)</t>
  </si>
  <si>
    <t xml:space="preserve">FERCHAU GmbH Niederlassung Nürnberg City</t>
  </si>
  <si>
    <t xml:space="preserve">Heroldsberg</t>
  </si>
  <si>
    <t xml:space="preserve">90562</t>
  </si>
  <si>
    <t xml:space="preserve">12265-498673_JB5268561-S</t>
  </si>
  <si>
    <t xml:space="preserve">IT-Consultant Telematikinfrastruktur (all genders)</t>
  </si>
  <si>
    <t xml:space="preserve">adesso SE</t>
  </si>
  <si>
    <t xml:space="preserve">IT Support Mitarbeiter (m/w/d) Netzwerktechnik</t>
  </si>
  <si>
    <t xml:space="preserve">BFI Informationssysteme GmbH</t>
  </si>
  <si>
    <t xml:space="preserve">90411</t>
  </si>
  <si>
    <t xml:space="preserve">15297-0ahr6g81-S</t>
  </si>
  <si>
    <t xml:space="preserve">Systemadministrator (w/m/d) – Schwerpunkt Informationssicherheit</t>
  </si>
  <si>
    <t xml:space="preserve">BRANDAD Group AG</t>
  </si>
  <si>
    <t xml:space="preserve">Fürth</t>
  </si>
  <si>
    <t xml:space="preserve">Indeed</t>
  </si>
  <si>
    <t xml:space="preserve">Systemadministrator Netzwerk &amp; Security</t>
  </si>
  <si>
    <t xml:space="preserve">Suspa GmbH Betriebsstätte Altdorf</t>
  </si>
  <si>
    <t xml:space="preserve">Altdorf bei Nürnberg</t>
  </si>
  <si>
    <t xml:space="preserve">90518</t>
  </si>
  <si>
    <t xml:space="preserve">10001-1003820240-S</t>
  </si>
  <si>
    <t xml:space="preserve">Brodos AG</t>
  </si>
  <si>
    <t xml:space="preserve">Baiersdorf</t>
  </si>
  <si>
    <t xml:space="preserve">91083</t>
  </si>
  <si>
    <t xml:space="preserve">10001-1003818873-S</t>
  </si>
  <si>
    <t xml:space="preserve">IT Support Specialist (m/w/d) Netzwerk &amp; Linux</t>
  </si>
  <si>
    <t xml:space="preserve">iSK GmbH Personaldienstleistungen</t>
  </si>
  <si>
    <t xml:space="preserve">91058</t>
  </si>
  <si>
    <t xml:space="preserve">12262-13890876-S</t>
  </si>
  <si>
    <t xml:space="preserve">IT-Systemadministrator Infrastruktur &amp; Cloud (m/w/d), Neumarkt in der Oberpfalz</t>
  </si>
  <si>
    <t xml:space="preserve">PFLEIDERER Deutschland GmbH</t>
  </si>
  <si>
    <t xml:space="preserve">Neumarkt in der Oberpfalz</t>
  </si>
  <si>
    <t xml:space="preserve">92318</t>
  </si>
  <si>
    <t xml:space="preserve">12811-2352392-S</t>
  </si>
  <si>
    <t xml:space="preserve">IT-Service Desk Mitarbeiter (m/w/d) - Referenznummer: 061026-3-NBG</t>
  </si>
  <si>
    <t xml:space="preserve">90409</t>
  </si>
  <si>
    <t xml:space="preserve">15297-2u0wf5wb-S</t>
  </si>
  <si>
    <t xml:space="preserve">Hegmanns AG</t>
  </si>
  <si>
    <t xml:space="preserve">BA+LinkedIn</t>
  </si>
  <si>
    <t xml:space="preserve">10001-1003811452-S</t>
  </si>
  <si>
    <t xml:space="preserve">Mitarbeiter (m/w/d) IT-Infrastruktur inkl. Softwareentwicklung</t>
  </si>
  <si>
    <t xml:space="preserve">Sill Optics GmbH</t>
  </si>
  <si>
    <t xml:space="preserve">Wendelstein</t>
  </si>
  <si>
    <t xml:space="preserve">90530</t>
  </si>
  <si>
    <t xml:space="preserve">10001-1003809182-S</t>
  </si>
  <si>
    <t xml:space="preserve">Systembetreuer (w/m/d) für Rechenzentrumsbetrieb</t>
  </si>
  <si>
    <t xml:space="preserve">Siemens</t>
  </si>
  <si>
    <t xml:space="preserve">IT System Administrator (all gender)</t>
  </si>
  <si>
    <t xml:space="preserve">ALTEN</t>
  </si>
  <si>
    <t xml:space="preserve">IT-Systemadministrator:in</t>
  </si>
  <si>
    <t xml:space="preserve">zollsoft GmbH</t>
  </si>
  <si>
    <t xml:space="preserve">Sachsen bei Ansbach</t>
  </si>
  <si>
    <t xml:space="preserve">91623</t>
  </si>
  <si>
    <t xml:space="preserve">13635-5567d354_JB5264894-S</t>
  </si>
  <si>
    <t xml:space="preserve">puro Personaldienstleistung GmbH</t>
  </si>
  <si>
    <t xml:space="preserve">13669-B4QJPZOZC7TLDT27-S</t>
  </si>
  <si>
    <t xml:space="preserve">IT-Spezialist Netzwerk &amp; Connectivity (m/w/d)</t>
  </si>
  <si>
    <t xml:space="preserve">12265-516301_JB5262829-S</t>
  </si>
  <si>
    <t xml:space="preserve">IT-Spezialist (w/m/d)</t>
  </si>
  <si>
    <t xml:space="preserve">Brunel GmbH NL Mannheim</t>
  </si>
  <si>
    <t xml:space="preserve">91052</t>
  </si>
  <si>
    <t xml:space="preserve">12362-TR-300879_624701LS-S</t>
  </si>
  <si>
    <t xml:space="preserve">Mitarbeiter IT-Support / First Level Support (m/w/d)</t>
  </si>
  <si>
    <t xml:space="preserve">Kräuter Mix GmbH</t>
  </si>
  <si>
    <t xml:space="preserve">Abtswind</t>
  </si>
  <si>
    <t xml:space="preserve">97355</t>
  </si>
  <si>
    <t xml:space="preserve">12511-2026X0000052839-S</t>
  </si>
  <si>
    <t xml:space="preserve">IT-ServicetechnikerIn (m/w/d) Technischer Support im Innendienst</t>
  </si>
  <si>
    <t xml:space="preserve">PHARMATECHNIK GmbH &amp; Co. KG</t>
  </si>
  <si>
    <t xml:space="preserve">90403</t>
  </si>
  <si>
    <t xml:space="preserve">11858-SDE-123853-STA-S</t>
  </si>
  <si>
    <t xml:space="preserve">(Junior) IT Manager First Level Support (m/w/d)</t>
  </si>
  <si>
    <t xml:space="preserve">SIMBA DICKIE GROUP GMBH</t>
  </si>
  <si>
    <t xml:space="preserve">IT-Systemadministrator Infrastruktur &amp; Cloud (m/w/d)</t>
  </si>
  <si>
    <t xml:space="preserve">PFLEIDERER</t>
  </si>
  <si>
    <t xml:space="preserve">IT-Spezialist:in</t>
  </si>
  <si>
    <t xml:space="preserve">berg-it Projektdienstleistungen GmbH</t>
  </si>
  <si>
    <t xml:space="preserve">"Mein Sport? IT Support!", Supporter (m/w/d) im Help Desk</t>
  </si>
  <si>
    <t xml:space="preserve">12634-BB-645656-7878-5866-S</t>
  </si>
  <si>
    <t xml:space="preserve">Elektroingenieur (m/w/d) Systemintegration</t>
  </si>
  <si>
    <t xml:space="preserve">MCA Engineering GmbH</t>
  </si>
  <si>
    <t xml:space="preserve">90402</t>
  </si>
  <si>
    <t xml:space="preserve">14751-351A739-S</t>
  </si>
  <si>
    <t xml:space="preserve">Pharmatechnik KG 01</t>
  </si>
  <si>
    <t xml:space="preserve">Schnaittach</t>
  </si>
  <si>
    <t xml:space="preserve">91220</t>
  </si>
  <si>
    <t xml:space="preserve">16265-0067825301-S</t>
  </si>
  <si>
    <t xml:space="preserve">Professional System Engineer / IT System Administrator Test- &amp; Plattformbetrieb (m/w/d)</t>
  </si>
  <si>
    <t xml:space="preserve">12634-BB-645620-7878-4652-S</t>
  </si>
  <si>
    <t xml:space="preserve">mgm technology partners GmbH: IT Systemadministrator Linux (m/w/d)</t>
  </si>
  <si>
    <t xml:space="preserve">mgm technology partners GmbH</t>
  </si>
  <si>
    <t xml:space="preserve">96047</t>
  </si>
  <si>
    <t xml:space="preserve">11956-3071241790632800-S</t>
  </si>
  <si>
    <t xml:space="preserve">IT-Servicetechniker (m/w/d)</t>
  </si>
  <si>
    <t xml:space="preserve">Stein bei Nürnberg</t>
  </si>
  <si>
    <t xml:space="preserve">Fachinformatiker - Systemintegration (m/w/d)</t>
  </si>
  <si>
    <t xml:space="preserve">fomedia GmbH</t>
  </si>
  <si>
    <t xml:space="preserve">Forchheim</t>
  </si>
  <si>
    <t xml:space="preserve">91301</t>
  </si>
  <si>
    <t xml:space="preserve">11289-234974818-S</t>
  </si>
  <si>
    <t xml:space="preserve">Systemadministrator/in (m/w/d) Dienstplanprogramm</t>
  </si>
  <si>
    <t xml:space="preserve">Klinikum Nürnberg</t>
  </si>
  <si>
    <t xml:space="preserve">90419</t>
  </si>
  <si>
    <t xml:space="preserve">10000-1208053079-S</t>
  </si>
  <si>
    <t xml:space="preserve">Quereinsteiger gesucht: Starte deine Karriere in der IT-Administration (m/w/d)</t>
  </si>
  <si>
    <t xml:space="preserve">Syntex</t>
  </si>
  <si>
    <t xml:space="preserve">Quereinsteiger gesucht: IT-Support (m/w/d)</t>
  </si>
  <si>
    <t xml:space="preserve">Werde IT Support Specialist (m/w/d), Quereinsteiger willkommen!</t>
  </si>
  <si>
    <t xml:space="preserve">IT Systemadministrator 2nd LEVEL SUPPORT (m/w/d)</t>
  </si>
  <si>
    <t xml:space="preserve">ETO GRUPPE</t>
  </si>
  <si>
    <t xml:space="preserve">Summary - live formulas (update if you edit the Postings sheet)</t>
  </si>
  <si>
    <t xml:space="preserve">By source (wildcard: multi-source rows count in each)</t>
  </si>
  <si>
    <t xml:space="preserve">Value</t>
  </si>
  <si>
    <t xml:space="preserve">Count</t>
  </si>
  <si>
    <t xml:space="preserve">TOTAL</t>
  </si>
  <si>
    <t xml:space="preserve">By city</t>
  </si>
  <si>
    <t xml:space="preserve">By date posted</t>
  </si>
  <si>
    <t xml:space="preserve">2026-10-12</t>
  </si>
  <si>
    <t xml:space="preserve">2026-10-11</t>
  </si>
  <si>
    <t xml:space="preserve">2026-10-09</t>
  </si>
  <si>
    <t xml:space="preserve">2026-10-08</t>
  </si>
  <si>
    <t xml:space="preserve">2026-10-07</t>
  </si>
  <si>
    <t xml:space="preserve">2026-10-06</t>
  </si>
  <si>
    <t xml:space="preserve">2026-10-05</t>
  </si>
  <si>
    <t xml:space="preserve">2026-10-04</t>
  </si>
  <si>
    <t xml:space="preserve">2026-10-02</t>
  </si>
  <si>
    <t xml:space="preserve">2026-10-01</t>
  </si>
  <si>
    <t xml:space="preserve">2026-09-30</t>
  </si>
  <si>
    <t xml:space="preserve">2026-09-28</t>
  </si>
  <si>
    <t xml:space="preserve">Junior signal rows</t>
  </si>
  <si>
    <t xml:space="preserve">Check</t>
  </si>
  <si>
    <t xml:space="preserve">Expected</t>
  </si>
  <si>
    <t xml:space="preserve">Actual</t>
  </si>
  <si>
    <t xml:space="preserve">Status</t>
  </si>
  <si>
    <t xml:space="preserve">Posting count</t>
  </si>
  <si>
    <t xml:space="preserve">Junior-signal rows</t>
  </si>
  <si>
    <t xml:space="preserve">Oldest posting within 14 days</t>
  </si>
  <si>
    <t xml:space="preserve">TRUE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</si>
</sst>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37352F"/>
      <name val="Noto Sans CJK SC"/>
      <family val="0"/>
      <charset val="1"/>
    </font>
    <font>
      <i val="true"/>
      <sz val="9"/>
      <color rgb="FF8C8A84"/>
      <name val="Noto Sans CJK SC"/>
      <family val="0"/>
      <charset val="1"/>
    </font>
    <font>
      <sz val="11"/>
      <color rgb="FFFFFFFF"/>
      <name val="Noto Sans CJK SC"/>
      <family val="0"/>
      <charset val="1"/>
    </font>
    <font>
      <u val="single"/>
      <sz val="10"/>
      <color rgb="FF0563C1"/>
      <name val="Noto Sans CJK SC"/>
      <family val="0"/>
      <charset val="1"/>
    </font>
    <font>
      <sz val="11"/>
      <color rgb="FF1B7D46"/>
      <name val="Cambria"/>
      <family val="0"/>
      <charset val="1"/>
    </font>
    <font>
      <b val="true"/>
      <sz val="12"/>
      <color rgb="FF37352F"/>
      <name val="Noto Sans CJK SC"/>
      <family val="0"/>
      <charset val="1"/>
    </font>
    <font>
      <b val="true"/>
      <sz val="11"/>
      <color rgb="FF1B2A4A"/>
      <name val="Noto Sans CJK SC"/>
      <family val="0"/>
      <charset val="1"/>
    </font>
    <font>
      <b val="true"/>
      <sz val="11"/>
      <name val="Noto Sans CJK SC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37352F"/>
      </patternFill>
    </fill>
    <fill>
      <patternFill patternType="solid">
        <fgColor rgb="FFFFFFFF"/>
        <bgColor rgb="FFF7F7F5"/>
      </patternFill>
    </fill>
    <fill>
      <patternFill patternType="solid">
        <fgColor rgb="FFF7F7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9E9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7F7F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B7D46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D46"/>
      <rgbColor rgb="FFC0C0C0"/>
      <rgbColor rgb="FF8C8A84"/>
      <rgbColor rgb="FF9999FF"/>
      <rgbColor rgb="FF993366"/>
      <rgbColor rgb="FFF7F7F5"/>
      <rgbColor rgb="FFE9E9E8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B2A4A"/>
      <rgbColor rgb="FF339966"/>
      <rgbColor rgb="FF003300"/>
      <rgbColor rgb="FF333300"/>
      <rgbColor rgb="FF993300"/>
      <rgbColor rgb="FF993366"/>
      <rgbColor rgb="FF333399"/>
      <rgbColor rgb="FF3735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arbeitsagentur.de/jobsuche/jobdetail/12117-YF-49468-YF-S" TargetMode="External"/><Relationship Id="rId2" Type="http://schemas.openxmlformats.org/officeDocument/2006/relationships/hyperlink" Target="https://www.linkedin.com/jobs/view/4477513220" TargetMode="External"/><Relationship Id="rId3" Type="http://schemas.openxmlformats.org/officeDocument/2006/relationships/hyperlink" Target="https://www.linkedin.com/jobs/view/4475683612" TargetMode="External"/><Relationship Id="rId4" Type="http://schemas.openxmlformats.org/officeDocument/2006/relationships/hyperlink" Target="https://www.arbeitsagentur.de/jobsuche/jobdetail/14274-L4JY2HU63IRWLAXG-S" TargetMode="External"/><Relationship Id="rId5" Type="http://schemas.openxmlformats.org/officeDocument/2006/relationships/hyperlink" Target="https://www.arbeitsagentur.de/jobsuche/jobdetail/10001-1003832993-S" TargetMode="External"/><Relationship Id="rId6" Type="http://schemas.openxmlformats.org/officeDocument/2006/relationships/hyperlink" Target="https://www.arbeitsagentur.de/jobsuche/jobdetail/10001-1003834249-S" TargetMode="External"/><Relationship Id="rId7" Type="http://schemas.openxmlformats.org/officeDocument/2006/relationships/hyperlink" Target="https://www.arbeitsagentur.de/jobsuche/jobdetail/10001-1003830628-S" TargetMode="External"/><Relationship Id="rId8" Type="http://schemas.openxmlformats.org/officeDocument/2006/relationships/hyperlink" Target="https://www.arbeitsagentur.de/jobsuche/jobdetail/10001-1003830762-S" TargetMode="External"/><Relationship Id="rId9" Type="http://schemas.openxmlformats.org/officeDocument/2006/relationships/hyperlink" Target="https://www.arbeitsagentur.de/jobsuche/jobdetail/10001-1003830672-S" TargetMode="External"/><Relationship Id="rId10" Type="http://schemas.openxmlformats.org/officeDocument/2006/relationships/hyperlink" Target="https://www.arbeitsagentur.de/jobsuche/jobdetail/10001-1003831106-S" TargetMode="External"/><Relationship Id="rId11" Type="http://schemas.openxmlformats.org/officeDocument/2006/relationships/hyperlink" Target="https://www.arbeitsagentur.de/jobsuche/jobdetail/12634-BB-646012-7878-6530-S" TargetMode="External"/><Relationship Id="rId12" Type="http://schemas.openxmlformats.org/officeDocument/2006/relationships/hyperlink" Target="https://www.arbeitsagentur.de/jobsuche/jobdetail/12265-498673_JB5268561-S" TargetMode="External"/><Relationship Id="rId13" Type="http://schemas.openxmlformats.org/officeDocument/2006/relationships/hyperlink" Target="https://www.linkedin.com/jobs/view/4359188380" TargetMode="External"/><Relationship Id="rId14" Type="http://schemas.openxmlformats.org/officeDocument/2006/relationships/hyperlink" Target="https://www.arbeitsagentur.de/jobsuche/jobdetail/15297-0ahr6g81-S" TargetMode="External"/><Relationship Id="rId15" Type="http://schemas.openxmlformats.org/officeDocument/2006/relationships/hyperlink" Target="https://de.indeed.com/viewjob?jk=b80ae62a7b0445c5" TargetMode="External"/><Relationship Id="rId16" Type="http://schemas.openxmlformats.org/officeDocument/2006/relationships/hyperlink" Target="https://www.arbeitsagentur.de/jobsuche/jobdetail/10001-1003820240-S" TargetMode="External"/><Relationship Id="rId17" Type="http://schemas.openxmlformats.org/officeDocument/2006/relationships/hyperlink" Target="https://www.arbeitsagentur.de/jobsuche/jobdetail/10001-1003818873-S" TargetMode="External"/><Relationship Id="rId18" Type="http://schemas.openxmlformats.org/officeDocument/2006/relationships/hyperlink" Target="https://www.arbeitsagentur.de/jobsuche/jobdetail/12262-13890876-S" TargetMode="External"/><Relationship Id="rId19" Type="http://schemas.openxmlformats.org/officeDocument/2006/relationships/hyperlink" Target="https://www.arbeitsagentur.de/jobsuche/jobdetail/12811-2352392-S" TargetMode="External"/><Relationship Id="rId20" Type="http://schemas.openxmlformats.org/officeDocument/2006/relationships/hyperlink" Target="https://www.arbeitsagentur.de/jobsuche/jobdetail/15297-2u0wf5wb-S" TargetMode="External"/><Relationship Id="rId21" Type="http://schemas.openxmlformats.org/officeDocument/2006/relationships/hyperlink" Target="https://www.arbeitsagentur.de/jobsuche/jobdetail/10001-1003811452-S" TargetMode="External"/><Relationship Id="rId22" Type="http://schemas.openxmlformats.org/officeDocument/2006/relationships/hyperlink" Target="https://www.arbeitsagentur.de/jobsuche/jobdetail/10001-1003809182-S" TargetMode="External"/><Relationship Id="rId23" Type="http://schemas.openxmlformats.org/officeDocument/2006/relationships/hyperlink" Target="https://www.linkedin.com/jobs/view/4456895810" TargetMode="External"/><Relationship Id="rId24" Type="http://schemas.openxmlformats.org/officeDocument/2006/relationships/hyperlink" Target="https://www.linkedin.com/jobs/view/4474024740" TargetMode="External"/><Relationship Id="rId25" Type="http://schemas.openxmlformats.org/officeDocument/2006/relationships/hyperlink" Target="https://www.arbeitsagentur.de/jobsuche/jobdetail/13635-5567d354_JB5264894-S" TargetMode="External"/><Relationship Id="rId26" Type="http://schemas.openxmlformats.org/officeDocument/2006/relationships/hyperlink" Target="https://www.arbeitsagentur.de/jobsuche/jobdetail/13669-B4QJPZOZC7TLDT27-S" TargetMode="External"/><Relationship Id="rId27" Type="http://schemas.openxmlformats.org/officeDocument/2006/relationships/hyperlink" Target="https://www.arbeitsagentur.de/jobsuche/jobdetail/12265-516301_JB5262829-S" TargetMode="External"/><Relationship Id="rId28" Type="http://schemas.openxmlformats.org/officeDocument/2006/relationships/hyperlink" Target="https://www.arbeitsagentur.de/jobsuche/jobdetail/12362-TR-300879_624701LS-S" TargetMode="External"/><Relationship Id="rId29" Type="http://schemas.openxmlformats.org/officeDocument/2006/relationships/hyperlink" Target="https://www.arbeitsagentur.de/jobsuche/jobdetail/19146-100015393521-S" TargetMode="External"/><Relationship Id="rId30" Type="http://schemas.openxmlformats.org/officeDocument/2006/relationships/hyperlink" Target="https://www.arbeitsagentur.de/jobsuche/jobdetail/11858-SDE-123853-STA-S" TargetMode="External"/><Relationship Id="rId31" Type="http://schemas.openxmlformats.org/officeDocument/2006/relationships/hyperlink" Target="https://de.indeed.com/viewjob?jk=2fc62b848db1054e" TargetMode="External"/><Relationship Id="rId32" Type="http://schemas.openxmlformats.org/officeDocument/2006/relationships/hyperlink" Target="https://de.indeed.com/viewjob?jk=b84fcb770460d293" TargetMode="External"/><Relationship Id="rId33" Type="http://schemas.openxmlformats.org/officeDocument/2006/relationships/hyperlink" Target="https://www.linkedin.com/jobs/view/4472877396" TargetMode="External"/><Relationship Id="rId34" Type="http://schemas.openxmlformats.org/officeDocument/2006/relationships/hyperlink" Target="https://www.arbeitsagentur.de/jobsuche/jobdetail/12634-BB-645656-7878-5866-S" TargetMode="External"/><Relationship Id="rId35" Type="http://schemas.openxmlformats.org/officeDocument/2006/relationships/hyperlink" Target="https://www.arbeitsagentur.de/jobsuche/jobdetail/14751-351A739-S" TargetMode="External"/><Relationship Id="rId36" Type="http://schemas.openxmlformats.org/officeDocument/2006/relationships/hyperlink" Target="https://www.arbeitsagentur.de/jobsuche/jobdetail/16265-0067825301-S" TargetMode="External"/><Relationship Id="rId37" Type="http://schemas.openxmlformats.org/officeDocument/2006/relationships/hyperlink" Target="https://www.arbeitsagentur.de/jobsuche/jobdetail/12634-BB-645620-7878-4652-S" TargetMode="External"/><Relationship Id="rId38" Type="http://schemas.openxmlformats.org/officeDocument/2006/relationships/hyperlink" Target="https://www.arbeitsagentur.de/jobsuche/jobdetail/11956-3071241790632800-S" TargetMode="External"/><Relationship Id="rId39" Type="http://schemas.openxmlformats.org/officeDocument/2006/relationships/hyperlink" Target="https://www.linkedin.com/jobs/view/4473819863" TargetMode="External"/><Relationship Id="rId40" Type="http://schemas.openxmlformats.org/officeDocument/2006/relationships/hyperlink" Target="https://www.arbeitsagentur.de/jobsuche/jobdetail/11289-234974818-S" TargetMode="External"/><Relationship Id="rId41" Type="http://schemas.openxmlformats.org/officeDocument/2006/relationships/hyperlink" Target="https://www.arbeitsagentur.de/jobsuche/jobdetail/10000-1208053079-S" TargetMode="External"/><Relationship Id="rId42" Type="http://schemas.openxmlformats.org/officeDocument/2006/relationships/hyperlink" Target="https://de.indeed.com/viewjob?jk=c5494f71669d72d1" TargetMode="External"/><Relationship Id="rId43" Type="http://schemas.openxmlformats.org/officeDocument/2006/relationships/hyperlink" Target="https://de.indeed.com/viewjob?jk=67eb174c9689d62c" TargetMode="External"/><Relationship Id="rId44" Type="http://schemas.openxmlformats.org/officeDocument/2006/relationships/hyperlink" Target="https://de.indeed.com/viewjob?jk=47974dddb6856062" TargetMode="External"/><Relationship Id="rId45" Type="http://schemas.openxmlformats.org/officeDocument/2006/relationships/hyperlink" Target="https://www.linkedin.com/jobs/view/4453252388" TargetMode="External"/><Relationship Id="rId46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12"/>
    <col collapsed="false" customWidth="true" hidden="false" outlineLevel="0" max="3" min="3" style="1" width="52"/>
    <col collapsed="false" customWidth="true" hidden="false" outlineLevel="0" max="4" min="4" style="1" width="50"/>
    <col collapsed="false" customWidth="true" hidden="false" outlineLevel="0" max="5" min="5" style="1" width="27"/>
    <col collapsed="false" customWidth="true" hidden="false" outlineLevel="0" max="6" min="6" style="1" width="9"/>
    <col collapsed="false" customWidth="true" hidden="false" outlineLevel="0" max="7" min="7" style="1" width="13"/>
    <col collapsed="false" customWidth="true" hidden="false" outlineLevel="0" max="13" min="8" style="1" width="9"/>
    <col collapsed="false" customWidth="true" hidden="false" outlineLevel="0" max="14" min="14" style="1" width="29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27.75" hidden="false" customHeight="true" outlineLevel="0" collapsed="false"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</row>
    <row r="5" customFormat="false" ht="15" hidden="false" customHeight="false" outlineLevel="0" collapsed="false">
      <c r="B5" s="5" t="n">
        <v>46307</v>
      </c>
      <c r="C5" s="6" t="s">
        <v>15</v>
      </c>
      <c r="D5" s="7" t="s">
        <v>16</v>
      </c>
      <c r="E5" s="7" t="s">
        <v>17</v>
      </c>
      <c r="F5" s="7" t="s">
        <v>18</v>
      </c>
      <c r="G5" s="7" t="s">
        <v>19</v>
      </c>
      <c r="H5" s="8"/>
      <c r="I5" s="8"/>
      <c r="J5" s="7"/>
      <c r="K5" s="7"/>
      <c r="L5" s="7"/>
      <c r="M5" s="9" t="s">
        <v>20</v>
      </c>
      <c r="N5" s="7" t="s">
        <v>21</v>
      </c>
    </row>
    <row r="6" customFormat="false" ht="15" hidden="false" customHeight="false" outlineLevel="0" collapsed="false">
      <c r="B6" s="10" t="n">
        <v>46307</v>
      </c>
      <c r="C6" s="11" t="s">
        <v>22</v>
      </c>
      <c r="D6" s="12" t="s">
        <v>23</v>
      </c>
      <c r="E6" s="12" t="s">
        <v>24</v>
      </c>
      <c r="F6" s="12"/>
      <c r="G6" s="12" t="s">
        <v>25</v>
      </c>
      <c r="H6" s="13"/>
      <c r="I6" s="13"/>
      <c r="J6" s="12"/>
      <c r="K6" s="12"/>
      <c r="L6" s="12"/>
      <c r="M6" s="14" t="s">
        <v>20</v>
      </c>
      <c r="N6" s="12"/>
    </row>
    <row r="7" customFormat="false" ht="15" hidden="false" customHeight="false" outlineLevel="0" collapsed="false">
      <c r="B7" s="5" t="n">
        <v>46307</v>
      </c>
      <c r="C7" s="6" t="s">
        <v>22</v>
      </c>
      <c r="D7" s="7" t="s">
        <v>26</v>
      </c>
      <c r="E7" s="7" t="s">
        <v>24</v>
      </c>
      <c r="F7" s="7"/>
      <c r="G7" s="7" t="s">
        <v>25</v>
      </c>
      <c r="H7" s="8"/>
      <c r="I7" s="8"/>
      <c r="J7" s="7"/>
      <c r="K7" s="7"/>
      <c r="L7" s="7"/>
      <c r="M7" s="9" t="s">
        <v>20</v>
      </c>
      <c r="N7" s="7"/>
    </row>
    <row r="8" customFormat="false" ht="15" hidden="false" customHeight="false" outlineLevel="0" collapsed="false">
      <c r="B8" s="10" t="n">
        <v>46306</v>
      </c>
      <c r="C8" s="11" t="s">
        <v>27</v>
      </c>
      <c r="D8" s="12" t="s">
        <v>28</v>
      </c>
      <c r="E8" s="12" t="s">
        <v>24</v>
      </c>
      <c r="F8" s="12" t="s">
        <v>29</v>
      </c>
      <c r="G8" s="12" t="s">
        <v>19</v>
      </c>
      <c r="H8" s="13"/>
      <c r="I8" s="13"/>
      <c r="J8" s="12"/>
      <c r="K8" s="12"/>
      <c r="L8" s="12"/>
      <c r="M8" s="14" t="s">
        <v>20</v>
      </c>
      <c r="N8" s="12" t="s">
        <v>30</v>
      </c>
    </row>
    <row r="9" customFormat="false" ht="15" hidden="false" customHeight="false" outlineLevel="0" collapsed="false">
      <c r="B9" s="5" t="n">
        <v>46304</v>
      </c>
      <c r="C9" s="6" t="s">
        <v>31</v>
      </c>
      <c r="D9" s="7" t="s">
        <v>32</v>
      </c>
      <c r="E9" s="7" t="s">
        <v>33</v>
      </c>
      <c r="F9" s="7"/>
      <c r="G9" s="7" t="s">
        <v>19</v>
      </c>
      <c r="H9" s="8"/>
      <c r="I9" s="8"/>
      <c r="J9" s="7"/>
      <c r="K9" s="7"/>
      <c r="L9" s="7"/>
      <c r="M9" s="9" t="s">
        <v>20</v>
      </c>
      <c r="N9" s="7" t="s">
        <v>34</v>
      </c>
    </row>
    <row r="10" customFormat="false" ht="15" hidden="false" customHeight="false" outlineLevel="0" collapsed="false">
      <c r="B10" s="10" t="n">
        <v>46304</v>
      </c>
      <c r="C10" s="11" t="s">
        <v>15</v>
      </c>
      <c r="D10" s="12" t="s">
        <v>35</v>
      </c>
      <c r="E10" s="12" t="s">
        <v>33</v>
      </c>
      <c r="F10" s="12"/>
      <c r="G10" s="12" t="s">
        <v>19</v>
      </c>
      <c r="H10" s="13"/>
      <c r="I10" s="13"/>
      <c r="J10" s="12"/>
      <c r="K10" s="12"/>
      <c r="L10" s="12"/>
      <c r="M10" s="14" t="s">
        <v>20</v>
      </c>
      <c r="N10" s="12" t="s">
        <v>36</v>
      </c>
    </row>
    <row r="11" customFormat="false" ht="15" hidden="false" customHeight="false" outlineLevel="0" collapsed="false">
      <c r="B11" s="5" t="n">
        <v>46304</v>
      </c>
      <c r="C11" s="6" t="s">
        <v>37</v>
      </c>
      <c r="D11" s="7" t="s">
        <v>38</v>
      </c>
      <c r="E11" s="7" t="s">
        <v>24</v>
      </c>
      <c r="F11" s="7" t="s">
        <v>39</v>
      </c>
      <c r="G11" s="7" t="s">
        <v>19</v>
      </c>
      <c r="H11" s="8"/>
      <c r="I11" s="8"/>
      <c r="J11" s="7"/>
      <c r="K11" s="7"/>
      <c r="L11" s="15" t="s">
        <v>40</v>
      </c>
      <c r="M11" s="9" t="s">
        <v>20</v>
      </c>
      <c r="N11" s="7" t="s">
        <v>41</v>
      </c>
    </row>
    <row r="12" customFormat="false" ht="15" hidden="false" customHeight="false" outlineLevel="0" collapsed="false">
      <c r="B12" s="10" t="n">
        <v>46304</v>
      </c>
      <c r="C12" s="11" t="s">
        <v>42</v>
      </c>
      <c r="D12" s="12" t="s">
        <v>43</v>
      </c>
      <c r="E12" s="12" t="s">
        <v>24</v>
      </c>
      <c r="F12" s="12"/>
      <c r="G12" s="12" t="s">
        <v>19</v>
      </c>
      <c r="H12" s="13"/>
      <c r="I12" s="13"/>
      <c r="J12" s="12"/>
      <c r="K12" s="12"/>
      <c r="L12" s="12"/>
      <c r="M12" s="14" t="s">
        <v>20</v>
      </c>
      <c r="N12" s="12" t="s">
        <v>44</v>
      </c>
    </row>
    <row r="13" customFormat="false" ht="15" hidden="false" customHeight="false" outlineLevel="0" collapsed="false">
      <c r="B13" s="5" t="n">
        <v>46304</v>
      </c>
      <c r="C13" s="6" t="s">
        <v>45</v>
      </c>
      <c r="D13" s="7" t="s">
        <v>43</v>
      </c>
      <c r="E13" s="7" t="s">
        <v>46</v>
      </c>
      <c r="F13" s="7"/>
      <c r="G13" s="7" t="s">
        <v>19</v>
      </c>
      <c r="H13" s="8"/>
      <c r="I13" s="8"/>
      <c r="J13" s="7"/>
      <c r="K13" s="7"/>
      <c r="L13" s="15" t="s">
        <v>40</v>
      </c>
      <c r="M13" s="9" t="s">
        <v>20</v>
      </c>
      <c r="N13" s="7" t="s">
        <v>47</v>
      </c>
    </row>
    <row r="14" customFormat="false" ht="15" hidden="false" customHeight="false" outlineLevel="0" collapsed="false">
      <c r="B14" s="10" t="n">
        <v>46304</v>
      </c>
      <c r="C14" s="11" t="s">
        <v>48</v>
      </c>
      <c r="D14" s="12" t="s">
        <v>38</v>
      </c>
      <c r="E14" s="12" t="s">
        <v>49</v>
      </c>
      <c r="F14" s="12" t="s">
        <v>50</v>
      </c>
      <c r="G14" s="12" t="s">
        <v>19</v>
      </c>
      <c r="H14" s="13"/>
      <c r="I14" s="13"/>
      <c r="J14" s="12"/>
      <c r="K14" s="12"/>
      <c r="L14" s="12"/>
      <c r="M14" s="14" t="s">
        <v>20</v>
      </c>
      <c r="N14" s="12" t="s">
        <v>51</v>
      </c>
    </row>
    <row r="15" customFormat="false" ht="15" hidden="false" customHeight="false" outlineLevel="0" collapsed="false">
      <c r="B15" s="5" t="n">
        <v>46304</v>
      </c>
      <c r="C15" s="6" t="s">
        <v>52</v>
      </c>
      <c r="D15" s="7" t="s">
        <v>53</v>
      </c>
      <c r="E15" s="7" t="s">
        <v>24</v>
      </c>
      <c r="F15" s="7" t="s">
        <v>54</v>
      </c>
      <c r="G15" s="7" t="s">
        <v>19</v>
      </c>
      <c r="H15" s="8"/>
      <c r="I15" s="8"/>
      <c r="J15" s="7"/>
      <c r="K15" s="7"/>
      <c r="L15" s="7"/>
      <c r="M15" s="9" t="s">
        <v>20</v>
      </c>
      <c r="N15" s="7" t="s">
        <v>55</v>
      </c>
    </row>
    <row r="16" customFormat="false" ht="15" hidden="false" customHeight="false" outlineLevel="0" collapsed="false">
      <c r="B16" s="10" t="n">
        <v>46304</v>
      </c>
      <c r="C16" s="11" t="s">
        <v>56</v>
      </c>
      <c r="D16" s="12" t="s">
        <v>57</v>
      </c>
      <c r="E16" s="12" t="s">
        <v>58</v>
      </c>
      <c r="F16" s="12" t="s">
        <v>59</v>
      </c>
      <c r="G16" s="12" t="s">
        <v>19</v>
      </c>
      <c r="H16" s="13"/>
      <c r="I16" s="13"/>
      <c r="J16" s="12"/>
      <c r="K16" s="12"/>
      <c r="L16" s="12"/>
      <c r="M16" s="14" t="s">
        <v>20</v>
      </c>
      <c r="N16" s="12" t="s">
        <v>60</v>
      </c>
    </row>
    <row r="17" customFormat="false" ht="15" hidden="false" customHeight="false" outlineLevel="0" collapsed="false">
      <c r="B17" s="5" t="n">
        <v>46304</v>
      </c>
      <c r="C17" s="6" t="s">
        <v>61</v>
      </c>
      <c r="D17" s="7" t="s">
        <v>62</v>
      </c>
      <c r="E17" s="7" t="s">
        <v>24</v>
      </c>
      <c r="F17" s="7"/>
      <c r="G17" s="7" t="s">
        <v>25</v>
      </c>
      <c r="H17" s="8"/>
      <c r="I17" s="8"/>
      <c r="J17" s="7"/>
      <c r="K17" s="7"/>
      <c r="L17" s="7"/>
      <c r="M17" s="9" t="s">
        <v>20</v>
      </c>
      <c r="N17" s="7"/>
    </row>
    <row r="18" customFormat="false" ht="15" hidden="false" customHeight="false" outlineLevel="0" collapsed="false">
      <c r="B18" s="10" t="n">
        <v>46303</v>
      </c>
      <c r="C18" s="11" t="s">
        <v>63</v>
      </c>
      <c r="D18" s="12" t="s">
        <v>64</v>
      </c>
      <c r="E18" s="12" t="s">
        <v>24</v>
      </c>
      <c r="F18" s="12" t="s">
        <v>65</v>
      </c>
      <c r="G18" s="12" t="s">
        <v>19</v>
      </c>
      <c r="H18" s="13"/>
      <c r="I18" s="13"/>
      <c r="J18" s="12"/>
      <c r="K18" s="12"/>
      <c r="L18" s="12"/>
      <c r="M18" s="14" t="s">
        <v>20</v>
      </c>
      <c r="N18" s="12" t="s">
        <v>66</v>
      </c>
    </row>
    <row r="19" customFormat="false" ht="28.35" hidden="false" customHeight="false" outlineLevel="0" collapsed="false">
      <c r="B19" s="5" t="n">
        <v>46303</v>
      </c>
      <c r="C19" s="6" t="s">
        <v>67</v>
      </c>
      <c r="D19" s="7" t="s">
        <v>68</v>
      </c>
      <c r="E19" s="7" t="s">
        <v>69</v>
      </c>
      <c r="F19" s="7"/>
      <c r="G19" s="7" t="s">
        <v>70</v>
      </c>
      <c r="H19" s="8"/>
      <c r="I19" s="8"/>
      <c r="J19" s="7"/>
      <c r="K19" s="7"/>
      <c r="L19" s="7"/>
      <c r="M19" s="9" t="s">
        <v>20</v>
      </c>
      <c r="N19" s="7"/>
    </row>
    <row r="20" customFormat="false" ht="15" hidden="false" customHeight="false" outlineLevel="0" collapsed="false">
      <c r="B20" s="10" t="n">
        <v>46302</v>
      </c>
      <c r="C20" s="11" t="s">
        <v>71</v>
      </c>
      <c r="D20" s="12" t="s">
        <v>72</v>
      </c>
      <c r="E20" s="12" t="s">
        <v>73</v>
      </c>
      <c r="F20" s="12" t="s">
        <v>74</v>
      </c>
      <c r="G20" s="12" t="s">
        <v>19</v>
      </c>
      <c r="H20" s="13"/>
      <c r="I20" s="13"/>
      <c r="J20" s="12"/>
      <c r="K20" s="12"/>
      <c r="L20" s="12"/>
      <c r="M20" s="14" t="s">
        <v>20</v>
      </c>
      <c r="N20" s="12" t="s">
        <v>75</v>
      </c>
    </row>
    <row r="21" customFormat="false" ht="15" hidden="false" customHeight="false" outlineLevel="0" collapsed="false">
      <c r="B21" s="5" t="n">
        <v>46302</v>
      </c>
      <c r="C21" s="6" t="s">
        <v>52</v>
      </c>
      <c r="D21" s="7" t="s">
        <v>76</v>
      </c>
      <c r="E21" s="7" t="s">
        <v>77</v>
      </c>
      <c r="F21" s="7" t="s">
        <v>78</v>
      </c>
      <c r="G21" s="7" t="s">
        <v>19</v>
      </c>
      <c r="H21" s="8"/>
      <c r="I21" s="8"/>
      <c r="J21" s="7"/>
      <c r="K21" s="7"/>
      <c r="L21" s="7"/>
      <c r="M21" s="9" t="s">
        <v>20</v>
      </c>
      <c r="N21" s="7" t="s">
        <v>79</v>
      </c>
    </row>
    <row r="22" customFormat="false" ht="15" hidden="false" customHeight="false" outlineLevel="0" collapsed="false">
      <c r="B22" s="10" t="n">
        <v>46302</v>
      </c>
      <c r="C22" s="11" t="s">
        <v>80</v>
      </c>
      <c r="D22" s="12" t="s">
        <v>81</v>
      </c>
      <c r="E22" s="12" t="s">
        <v>33</v>
      </c>
      <c r="F22" s="12" t="s">
        <v>82</v>
      </c>
      <c r="G22" s="12" t="s">
        <v>19</v>
      </c>
      <c r="H22" s="13"/>
      <c r="I22" s="13"/>
      <c r="J22" s="12"/>
      <c r="K22" s="12"/>
      <c r="L22" s="12"/>
      <c r="M22" s="14" t="s">
        <v>20</v>
      </c>
      <c r="N22" s="12" t="s">
        <v>83</v>
      </c>
    </row>
    <row r="23" customFormat="false" ht="28.35" hidden="false" customHeight="false" outlineLevel="0" collapsed="false">
      <c r="B23" s="5" t="n">
        <v>46302</v>
      </c>
      <c r="C23" s="6" t="s">
        <v>84</v>
      </c>
      <c r="D23" s="7" t="s">
        <v>85</v>
      </c>
      <c r="E23" s="7" t="s">
        <v>86</v>
      </c>
      <c r="F23" s="7" t="s">
        <v>87</v>
      </c>
      <c r="G23" s="7" t="s">
        <v>19</v>
      </c>
      <c r="H23" s="8"/>
      <c r="I23" s="8"/>
      <c r="J23" s="7"/>
      <c r="K23" s="7"/>
      <c r="L23" s="7"/>
      <c r="M23" s="9" t="s">
        <v>20</v>
      </c>
      <c r="N23" s="7" t="s">
        <v>88</v>
      </c>
    </row>
    <row r="24" customFormat="false" ht="28.35" hidden="false" customHeight="false" outlineLevel="0" collapsed="false">
      <c r="B24" s="10" t="n">
        <v>46301</v>
      </c>
      <c r="C24" s="11" t="s">
        <v>89</v>
      </c>
      <c r="D24" s="12" t="s">
        <v>64</v>
      </c>
      <c r="E24" s="12" t="s">
        <v>24</v>
      </c>
      <c r="F24" s="12" t="s">
        <v>90</v>
      </c>
      <c r="G24" s="12" t="s">
        <v>19</v>
      </c>
      <c r="H24" s="13"/>
      <c r="I24" s="13"/>
      <c r="J24" s="12"/>
      <c r="K24" s="12"/>
      <c r="L24" s="12"/>
      <c r="M24" s="14" t="s">
        <v>20</v>
      </c>
      <c r="N24" s="12" t="s">
        <v>91</v>
      </c>
    </row>
    <row r="25" customFormat="false" ht="15" hidden="false" customHeight="false" outlineLevel="0" collapsed="false">
      <c r="B25" s="5" t="n">
        <v>46301</v>
      </c>
      <c r="C25" s="6" t="s">
        <v>52</v>
      </c>
      <c r="D25" s="7" t="s">
        <v>92</v>
      </c>
      <c r="E25" s="7" t="s">
        <v>24</v>
      </c>
      <c r="F25" s="7" t="s">
        <v>54</v>
      </c>
      <c r="G25" s="7" t="s">
        <v>93</v>
      </c>
      <c r="H25" s="8"/>
      <c r="I25" s="8"/>
      <c r="J25" s="7"/>
      <c r="K25" s="7"/>
      <c r="L25" s="7"/>
      <c r="M25" s="9" t="s">
        <v>20</v>
      </c>
      <c r="N25" s="7" t="s">
        <v>94</v>
      </c>
    </row>
    <row r="26" customFormat="false" ht="28.35" hidden="false" customHeight="false" outlineLevel="0" collapsed="false">
      <c r="B26" s="10" t="n">
        <v>46301</v>
      </c>
      <c r="C26" s="11" t="s">
        <v>95</v>
      </c>
      <c r="D26" s="12" t="s">
        <v>96</v>
      </c>
      <c r="E26" s="12" t="s">
        <v>97</v>
      </c>
      <c r="F26" s="12" t="s">
        <v>98</v>
      </c>
      <c r="G26" s="12" t="s">
        <v>19</v>
      </c>
      <c r="H26" s="13"/>
      <c r="I26" s="13"/>
      <c r="J26" s="12"/>
      <c r="K26" s="12"/>
      <c r="L26" s="12"/>
      <c r="M26" s="14" t="s">
        <v>20</v>
      </c>
      <c r="N26" s="12" t="s">
        <v>99</v>
      </c>
    </row>
    <row r="27" customFormat="false" ht="15" hidden="false" customHeight="false" outlineLevel="0" collapsed="false">
      <c r="B27" s="5" t="n">
        <v>46301</v>
      </c>
      <c r="C27" s="6" t="s">
        <v>100</v>
      </c>
      <c r="D27" s="7" t="s">
        <v>101</v>
      </c>
      <c r="E27" s="7" t="s">
        <v>33</v>
      </c>
      <c r="F27" s="7"/>
      <c r="G27" s="7" t="s">
        <v>25</v>
      </c>
      <c r="H27" s="8"/>
      <c r="I27" s="8"/>
      <c r="J27" s="7"/>
      <c r="K27" s="7"/>
      <c r="L27" s="7"/>
      <c r="M27" s="9" t="s">
        <v>20</v>
      </c>
      <c r="N27" s="7"/>
    </row>
    <row r="28" customFormat="false" ht="15" hidden="false" customHeight="false" outlineLevel="0" collapsed="false">
      <c r="B28" s="10" t="n">
        <v>46301</v>
      </c>
      <c r="C28" s="11" t="s">
        <v>102</v>
      </c>
      <c r="D28" s="12" t="s">
        <v>103</v>
      </c>
      <c r="E28" s="12" t="s">
        <v>24</v>
      </c>
      <c r="F28" s="12"/>
      <c r="G28" s="12" t="s">
        <v>25</v>
      </c>
      <c r="H28" s="13"/>
      <c r="I28" s="13"/>
      <c r="J28" s="12"/>
      <c r="K28" s="12"/>
      <c r="L28" s="12"/>
      <c r="M28" s="14" t="s">
        <v>20</v>
      </c>
      <c r="N28" s="12"/>
    </row>
    <row r="29" customFormat="false" ht="15" hidden="false" customHeight="false" outlineLevel="0" collapsed="false">
      <c r="B29" s="5" t="n">
        <v>46300</v>
      </c>
      <c r="C29" s="6" t="s">
        <v>104</v>
      </c>
      <c r="D29" s="7" t="s">
        <v>105</v>
      </c>
      <c r="E29" s="7" t="s">
        <v>106</v>
      </c>
      <c r="F29" s="7" t="s">
        <v>107</v>
      </c>
      <c r="G29" s="7" t="s">
        <v>19</v>
      </c>
      <c r="H29" s="8"/>
      <c r="I29" s="8"/>
      <c r="J29" s="7"/>
      <c r="K29" s="7"/>
      <c r="L29" s="7"/>
      <c r="M29" s="9" t="s">
        <v>20</v>
      </c>
      <c r="N29" s="7" t="s">
        <v>108</v>
      </c>
    </row>
    <row r="30" customFormat="false" ht="15" hidden="false" customHeight="false" outlineLevel="0" collapsed="false">
      <c r="B30" s="10" t="n">
        <v>46299</v>
      </c>
      <c r="C30" s="11" t="s">
        <v>31</v>
      </c>
      <c r="D30" s="12" t="s">
        <v>109</v>
      </c>
      <c r="E30" s="12" t="s">
        <v>86</v>
      </c>
      <c r="F30" s="12" t="s">
        <v>87</v>
      </c>
      <c r="G30" s="12" t="s">
        <v>19</v>
      </c>
      <c r="H30" s="13"/>
      <c r="I30" s="13"/>
      <c r="J30" s="12"/>
      <c r="K30" s="12"/>
      <c r="L30" s="12"/>
      <c r="M30" s="14" t="s">
        <v>20</v>
      </c>
      <c r="N30" s="12" t="s">
        <v>110</v>
      </c>
    </row>
    <row r="31" customFormat="false" ht="15" hidden="false" customHeight="false" outlineLevel="0" collapsed="false">
      <c r="B31" s="5" t="n">
        <v>46297</v>
      </c>
      <c r="C31" s="6" t="s">
        <v>111</v>
      </c>
      <c r="D31" s="7" t="s">
        <v>57</v>
      </c>
      <c r="E31" s="7" t="s">
        <v>33</v>
      </c>
      <c r="F31" s="7" t="s">
        <v>82</v>
      </c>
      <c r="G31" s="7" t="s">
        <v>19</v>
      </c>
      <c r="H31" s="8"/>
      <c r="I31" s="8"/>
      <c r="J31" s="7"/>
      <c r="K31" s="7"/>
      <c r="L31" s="7"/>
      <c r="M31" s="9" t="s">
        <v>20</v>
      </c>
      <c r="N31" s="7" t="s">
        <v>112</v>
      </c>
    </row>
    <row r="32" customFormat="false" ht="15" hidden="false" customHeight="false" outlineLevel="0" collapsed="false">
      <c r="B32" s="10" t="n">
        <v>46297</v>
      </c>
      <c r="C32" s="11" t="s">
        <v>113</v>
      </c>
      <c r="D32" s="12" t="s">
        <v>114</v>
      </c>
      <c r="E32" s="12" t="s">
        <v>33</v>
      </c>
      <c r="F32" s="12" t="s">
        <v>115</v>
      </c>
      <c r="G32" s="12" t="s">
        <v>19</v>
      </c>
      <c r="H32" s="13"/>
      <c r="I32" s="13"/>
      <c r="J32" s="12"/>
      <c r="K32" s="12"/>
      <c r="L32" s="12"/>
      <c r="M32" s="14" t="s">
        <v>20</v>
      </c>
      <c r="N32" s="12" t="s">
        <v>116</v>
      </c>
    </row>
    <row r="33" customFormat="false" ht="15" hidden="false" customHeight="false" outlineLevel="0" collapsed="false">
      <c r="B33" s="5" t="n">
        <v>46297</v>
      </c>
      <c r="C33" s="6" t="s">
        <v>117</v>
      </c>
      <c r="D33" s="7" t="s">
        <v>118</v>
      </c>
      <c r="E33" s="7" t="s">
        <v>119</v>
      </c>
      <c r="F33" s="7" t="s">
        <v>120</v>
      </c>
      <c r="G33" s="7" t="s">
        <v>19</v>
      </c>
      <c r="H33" s="8"/>
      <c r="I33" s="8"/>
      <c r="J33" s="7"/>
      <c r="K33" s="7"/>
      <c r="L33" s="15" t="s">
        <v>40</v>
      </c>
      <c r="M33" s="9" t="s">
        <v>20</v>
      </c>
      <c r="N33" s="7" t="s">
        <v>121</v>
      </c>
    </row>
    <row r="34" customFormat="false" ht="28.35" hidden="false" customHeight="false" outlineLevel="0" collapsed="false">
      <c r="B34" s="10" t="n">
        <v>46297</v>
      </c>
      <c r="C34" s="11" t="s">
        <v>122</v>
      </c>
      <c r="D34" s="12" t="s">
        <v>123</v>
      </c>
      <c r="E34" s="12" t="s">
        <v>24</v>
      </c>
      <c r="F34" s="12" t="s">
        <v>124</v>
      </c>
      <c r="G34" s="12" t="s">
        <v>19</v>
      </c>
      <c r="H34" s="13"/>
      <c r="I34" s="13"/>
      <c r="J34" s="12"/>
      <c r="K34" s="12"/>
      <c r="L34" s="12"/>
      <c r="M34" s="14" t="s">
        <v>20</v>
      </c>
      <c r="N34" s="12" t="s">
        <v>125</v>
      </c>
    </row>
    <row r="35" customFormat="false" ht="15" hidden="false" customHeight="false" outlineLevel="0" collapsed="false">
      <c r="B35" s="5" t="n">
        <v>46297</v>
      </c>
      <c r="C35" s="6" t="s">
        <v>126</v>
      </c>
      <c r="D35" s="7" t="s">
        <v>127</v>
      </c>
      <c r="E35" s="7" t="s">
        <v>69</v>
      </c>
      <c r="F35" s="7"/>
      <c r="G35" s="7" t="s">
        <v>70</v>
      </c>
      <c r="H35" s="8"/>
      <c r="I35" s="8"/>
      <c r="J35" s="7"/>
      <c r="K35" s="7"/>
      <c r="L35" s="15" t="s">
        <v>40</v>
      </c>
      <c r="M35" s="9" t="s">
        <v>20</v>
      </c>
      <c r="N35" s="7"/>
    </row>
    <row r="36" customFormat="false" ht="15" hidden="false" customHeight="false" outlineLevel="0" collapsed="false">
      <c r="B36" s="10" t="n">
        <v>46297</v>
      </c>
      <c r="C36" s="11" t="s">
        <v>128</v>
      </c>
      <c r="D36" s="12" t="s">
        <v>129</v>
      </c>
      <c r="E36" s="12" t="s">
        <v>86</v>
      </c>
      <c r="F36" s="12"/>
      <c r="G36" s="12" t="s">
        <v>70</v>
      </c>
      <c r="H36" s="13"/>
      <c r="I36" s="13"/>
      <c r="J36" s="12"/>
      <c r="K36" s="12"/>
      <c r="L36" s="12"/>
      <c r="M36" s="14" t="s">
        <v>20</v>
      </c>
      <c r="N36" s="12"/>
    </row>
    <row r="37" customFormat="false" ht="15" hidden="false" customHeight="false" outlineLevel="0" collapsed="false">
      <c r="B37" s="5" t="n">
        <v>46297</v>
      </c>
      <c r="C37" s="6" t="s">
        <v>130</v>
      </c>
      <c r="D37" s="7" t="s">
        <v>131</v>
      </c>
      <c r="E37" s="7" t="s">
        <v>24</v>
      </c>
      <c r="F37" s="7"/>
      <c r="G37" s="7" t="s">
        <v>25</v>
      </c>
      <c r="H37" s="8"/>
      <c r="I37" s="8"/>
      <c r="J37" s="7"/>
      <c r="K37" s="7"/>
      <c r="L37" s="7"/>
      <c r="M37" s="9" t="s">
        <v>20</v>
      </c>
      <c r="N37" s="7"/>
    </row>
    <row r="38" customFormat="false" ht="15" hidden="false" customHeight="false" outlineLevel="0" collapsed="false">
      <c r="B38" s="10" t="n">
        <v>46296</v>
      </c>
      <c r="C38" s="11" t="s">
        <v>132</v>
      </c>
      <c r="D38" s="12" t="s">
        <v>53</v>
      </c>
      <c r="E38" s="12" t="s">
        <v>24</v>
      </c>
      <c r="F38" s="12" t="s">
        <v>54</v>
      </c>
      <c r="G38" s="12" t="s">
        <v>19</v>
      </c>
      <c r="H38" s="13"/>
      <c r="I38" s="13"/>
      <c r="J38" s="12"/>
      <c r="K38" s="12"/>
      <c r="L38" s="15" t="s">
        <v>40</v>
      </c>
      <c r="M38" s="14" t="s">
        <v>20</v>
      </c>
      <c r="N38" s="12" t="s">
        <v>133</v>
      </c>
    </row>
    <row r="39" customFormat="false" ht="15" hidden="false" customHeight="false" outlineLevel="0" collapsed="false">
      <c r="B39" s="5" t="n">
        <v>46296</v>
      </c>
      <c r="C39" s="6" t="s">
        <v>134</v>
      </c>
      <c r="D39" s="7" t="s">
        <v>135</v>
      </c>
      <c r="E39" s="7" t="s">
        <v>24</v>
      </c>
      <c r="F39" s="7" t="s">
        <v>136</v>
      </c>
      <c r="G39" s="7" t="s">
        <v>19</v>
      </c>
      <c r="H39" s="8"/>
      <c r="I39" s="8"/>
      <c r="J39" s="7"/>
      <c r="K39" s="7"/>
      <c r="L39" s="7"/>
      <c r="M39" s="9" t="s">
        <v>20</v>
      </c>
      <c r="N39" s="7" t="s">
        <v>137</v>
      </c>
    </row>
    <row r="40" customFormat="false" ht="28.35" hidden="false" customHeight="false" outlineLevel="0" collapsed="false">
      <c r="B40" s="10" t="n">
        <v>46296</v>
      </c>
      <c r="C40" s="11" t="s">
        <v>122</v>
      </c>
      <c r="D40" s="12" t="s">
        <v>138</v>
      </c>
      <c r="E40" s="12" t="s">
        <v>139</v>
      </c>
      <c r="F40" s="12" t="s">
        <v>140</v>
      </c>
      <c r="G40" s="12" t="s">
        <v>19</v>
      </c>
      <c r="H40" s="13"/>
      <c r="I40" s="13"/>
      <c r="J40" s="12"/>
      <c r="K40" s="12"/>
      <c r="L40" s="12"/>
      <c r="M40" s="14" t="s">
        <v>20</v>
      </c>
      <c r="N40" s="12" t="s">
        <v>141</v>
      </c>
    </row>
    <row r="41" customFormat="false" ht="28.35" hidden="false" customHeight="false" outlineLevel="0" collapsed="false">
      <c r="B41" s="5" t="n">
        <v>46295</v>
      </c>
      <c r="C41" s="6" t="s">
        <v>142</v>
      </c>
      <c r="D41" s="7" t="s">
        <v>53</v>
      </c>
      <c r="E41" s="7" t="s">
        <v>24</v>
      </c>
      <c r="F41" s="7" t="s">
        <v>54</v>
      </c>
      <c r="G41" s="7" t="s">
        <v>19</v>
      </c>
      <c r="H41" s="8"/>
      <c r="I41" s="8"/>
      <c r="J41" s="7"/>
      <c r="K41" s="7"/>
      <c r="L41" s="7"/>
      <c r="M41" s="9" t="s">
        <v>20</v>
      </c>
      <c r="N41" s="7" t="s">
        <v>143</v>
      </c>
    </row>
    <row r="42" customFormat="false" ht="28.35" hidden="false" customHeight="false" outlineLevel="0" collapsed="false">
      <c r="B42" s="10" t="n">
        <v>46295</v>
      </c>
      <c r="C42" s="11" t="s">
        <v>144</v>
      </c>
      <c r="D42" s="12" t="s">
        <v>145</v>
      </c>
      <c r="E42" s="12" t="s">
        <v>46</v>
      </c>
      <c r="F42" s="12" t="s">
        <v>146</v>
      </c>
      <c r="G42" s="12" t="s">
        <v>19</v>
      </c>
      <c r="H42" s="13"/>
      <c r="I42" s="13"/>
      <c r="J42" s="12"/>
      <c r="K42" s="12"/>
      <c r="L42" s="12"/>
      <c r="M42" s="14" t="s">
        <v>20</v>
      </c>
      <c r="N42" s="12" t="s">
        <v>147</v>
      </c>
    </row>
    <row r="43" customFormat="false" ht="15" hidden="false" customHeight="false" outlineLevel="0" collapsed="false">
      <c r="B43" s="5" t="n">
        <v>46295</v>
      </c>
      <c r="C43" s="6" t="s">
        <v>148</v>
      </c>
      <c r="D43" s="7" t="s">
        <v>138</v>
      </c>
      <c r="E43" s="7" t="s">
        <v>149</v>
      </c>
      <c r="F43" s="7"/>
      <c r="G43" s="7" t="s">
        <v>25</v>
      </c>
      <c r="H43" s="8"/>
      <c r="I43" s="8"/>
      <c r="J43" s="7"/>
      <c r="K43" s="7"/>
      <c r="L43" s="7"/>
      <c r="M43" s="9" t="s">
        <v>20</v>
      </c>
      <c r="N43" s="7"/>
    </row>
    <row r="44" customFormat="false" ht="15" hidden="false" customHeight="false" outlineLevel="0" collapsed="false">
      <c r="B44" s="10" t="n">
        <v>46293</v>
      </c>
      <c r="C44" s="11" t="s">
        <v>150</v>
      </c>
      <c r="D44" s="12" t="s">
        <v>151</v>
      </c>
      <c r="E44" s="12" t="s">
        <v>152</v>
      </c>
      <c r="F44" s="12" t="s">
        <v>153</v>
      </c>
      <c r="G44" s="12" t="s">
        <v>19</v>
      </c>
      <c r="H44" s="13"/>
      <c r="I44" s="13"/>
      <c r="J44" s="12"/>
      <c r="K44" s="12"/>
      <c r="L44" s="12"/>
      <c r="M44" s="14" t="s">
        <v>20</v>
      </c>
      <c r="N44" s="12" t="s">
        <v>154</v>
      </c>
    </row>
    <row r="45" customFormat="false" ht="15" hidden="false" customHeight="false" outlineLevel="0" collapsed="false">
      <c r="B45" s="5" t="n">
        <v>46293</v>
      </c>
      <c r="C45" s="6" t="s">
        <v>155</v>
      </c>
      <c r="D45" s="7" t="s">
        <v>156</v>
      </c>
      <c r="E45" s="7" t="s">
        <v>24</v>
      </c>
      <c r="F45" s="7" t="s">
        <v>157</v>
      </c>
      <c r="G45" s="7" t="s">
        <v>19</v>
      </c>
      <c r="H45" s="8"/>
      <c r="I45" s="8"/>
      <c r="J45" s="7"/>
      <c r="K45" s="7"/>
      <c r="L45" s="7"/>
      <c r="M45" s="9" t="s">
        <v>20</v>
      </c>
      <c r="N45" s="7" t="s">
        <v>158</v>
      </c>
    </row>
    <row r="46" customFormat="false" ht="28.35" hidden="false" customHeight="false" outlineLevel="0" collapsed="false">
      <c r="B46" s="10" t="n">
        <v>46293</v>
      </c>
      <c r="C46" s="11" t="s">
        <v>159</v>
      </c>
      <c r="D46" s="12" t="s">
        <v>160</v>
      </c>
      <c r="E46" s="12" t="s">
        <v>33</v>
      </c>
      <c r="F46" s="12"/>
      <c r="G46" s="12" t="s">
        <v>70</v>
      </c>
      <c r="H46" s="13"/>
      <c r="I46" s="13"/>
      <c r="J46" s="12"/>
      <c r="K46" s="12" t="s">
        <v>40</v>
      </c>
      <c r="L46" s="12"/>
      <c r="M46" s="14" t="s">
        <v>20</v>
      </c>
      <c r="N46" s="12"/>
    </row>
    <row r="47" customFormat="false" ht="15" hidden="false" customHeight="false" outlineLevel="0" collapsed="false">
      <c r="B47" s="5" t="n">
        <v>46293</v>
      </c>
      <c r="C47" s="6" t="s">
        <v>161</v>
      </c>
      <c r="D47" s="7" t="s">
        <v>160</v>
      </c>
      <c r="E47" s="7" t="s">
        <v>69</v>
      </c>
      <c r="F47" s="7"/>
      <c r="G47" s="7" t="s">
        <v>70</v>
      </c>
      <c r="H47" s="8"/>
      <c r="I47" s="8"/>
      <c r="J47" s="7"/>
      <c r="K47" s="7" t="s">
        <v>40</v>
      </c>
      <c r="L47" s="7"/>
      <c r="M47" s="9" t="s">
        <v>20</v>
      </c>
      <c r="N47" s="7"/>
    </row>
    <row r="48" customFormat="false" ht="28.35" hidden="false" customHeight="false" outlineLevel="0" collapsed="false">
      <c r="B48" s="10" t="n">
        <v>46293</v>
      </c>
      <c r="C48" s="11" t="s">
        <v>162</v>
      </c>
      <c r="D48" s="12" t="s">
        <v>160</v>
      </c>
      <c r="E48" s="12" t="s">
        <v>46</v>
      </c>
      <c r="F48" s="12"/>
      <c r="G48" s="12" t="s">
        <v>70</v>
      </c>
      <c r="H48" s="13"/>
      <c r="I48" s="13"/>
      <c r="J48" s="12"/>
      <c r="K48" s="12" t="s">
        <v>40</v>
      </c>
      <c r="L48" s="12"/>
      <c r="M48" s="14" t="s">
        <v>20</v>
      </c>
      <c r="N48" s="12"/>
    </row>
    <row r="49" customFormat="false" ht="15" hidden="false" customHeight="false" outlineLevel="0" collapsed="false">
      <c r="B49" s="5" t="n">
        <v>46293</v>
      </c>
      <c r="C49" s="6" t="s">
        <v>163</v>
      </c>
      <c r="D49" s="7" t="s">
        <v>164</v>
      </c>
      <c r="E49" s="7" t="s">
        <v>24</v>
      </c>
      <c r="F49" s="7"/>
      <c r="G49" s="7" t="s">
        <v>25</v>
      </c>
      <c r="H49" s="8"/>
      <c r="I49" s="8"/>
      <c r="J49" s="7"/>
      <c r="K49" s="7"/>
      <c r="L49" s="7"/>
      <c r="M49" s="9" t="s">
        <v>20</v>
      </c>
      <c r="N49" s="7"/>
    </row>
  </sheetData>
  <autoFilter ref="B4:N49"/>
  <hyperlinks>
    <hyperlink ref="M5" r:id="rId1" display="open"/>
    <hyperlink ref="M6" r:id="rId2" display="open"/>
    <hyperlink ref="M7" r:id="rId3" display="open"/>
    <hyperlink ref="M8" r:id="rId4" display="open"/>
    <hyperlink ref="M9" r:id="rId5" display="open"/>
    <hyperlink ref="M10" r:id="rId6" display="open"/>
    <hyperlink ref="M11" r:id="rId7" display="open"/>
    <hyperlink ref="M12" r:id="rId8" display="open"/>
    <hyperlink ref="M13" r:id="rId9" display="open"/>
    <hyperlink ref="M14" r:id="rId10" display="open"/>
    <hyperlink ref="M15" r:id="rId11" display="open"/>
    <hyperlink ref="M16" r:id="rId12" display="open"/>
    <hyperlink ref="M17" r:id="rId13" display="open"/>
    <hyperlink ref="M18" r:id="rId14" display="open"/>
    <hyperlink ref="M19" r:id="rId15" display="open"/>
    <hyperlink ref="M20" r:id="rId16" display="open"/>
    <hyperlink ref="M21" r:id="rId17" display="open"/>
    <hyperlink ref="M22" r:id="rId18" display="open"/>
    <hyperlink ref="M23" r:id="rId19" display="open"/>
    <hyperlink ref="M24" r:id="rId20" display="open"/>
    <hyperlink ref="M25" r:id="rId21" display="open"/>
    <hyperlink ref="M26" r:id="rId22" display="open"/>
    <hyperlink ref="M27" r:id="rId23" display="open"/>
    <hyperlink ref="M28" r:id="rId24" display="open"/>
    <hyperlink ref="M29" r:id="rId25" display="open"/>
    <hyperlink ref="M30" r:id="rId26" display="open"/>
    <hyperlink ref="M31" r:id="rId27" display="open"/>
    <hyperlink ref="M32" r:id="rId28" display="open"/>
    <hyperlink ref="M33" r:id="rId29" display="open"/>
    <hyperlink ref="M34" r:id="rId30" display="open"/>
    <hyperlink ref="M35" r:id="rId31" display="open"/>
    <hyperlink ref="M36" r:id="rId32" display="open"/>
    <hyperlink ref="M37" r:id="rId33" display="open"/>
    <hyperlink ref="M38" r:id="rId34" display="open"/>
    <hyperlink ref="M39" r:id="rId35" display="open"/>
    <hyperlink ref="M40" r:id="rId36" display="open"/>
    <hyperlink ref="M41" r:id="rId37" display="open"/>
    <hyperlink ref="M42" r:id="rId38" display="open"/>
    <hyperlink ref="M43" r:id="rId39" display="open"/>
    <hyperlink ref="M44" r:id="rId40" display="open"/>
    <hyperlink ref="M45" r:id="rId41" display="open"/>
    <hyperlink ref="M46" r:id="rId42" display="open"/>
    <hyperlink ref="M47" r:id="rId43" display="open"/>
    <hyperlink ref="M48" r:id="rId44" display="open"/>
    <hyperlink ref="M49" r:id="rId45" display="ope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34"/>
  </cols>
  <sheetData>
    <row r="1" customFormat="false" ht="15" hidden="false" customHeight="false" outlineLevel="0" collapsed="false">
      <c r="A1" s="16" t="s">
        <v>165</v>
      </c>
    </row>
    <row r="3" customFormat="false" ht="15" hidden="false" customHeight="false" outlineLevel="0" collapsed="false">
      <c r="A3" s="17" t="s">
        <v>166</v>
      </c>
    </row>
    <row r="4" customFormat="false" ht="27.75" hidden="false" customHeight="true" outlineLevel="0" collapsed="false">
      <c r="A4" s="4" t="s">
        <v>167</v>
      </c>
      <c r="B4" s="4" t="s">
        <v>168</v>
      </c>
    </row>
    <row r="5" customFormat="false" ht="15" hidden="false" customHeight="false" outlineLevel="0" collapsed="false">
      <c r="A5" s="1" t="s">
        <v>19</v>
      </c>
      <c r="B5" s="18" t="n">
        <f aca="false">COUNTIF(Postings!$G$5:$G$49,"*BA*")</f>
        <v>31</v>
      </c>
    </row>
    <row r="6" customFormat="false" ht="15" hidden="false" customHeight="false" outlineLevel="0" collapsed="false">
      <c r="A6" s="1" t="s">
        <v>70</v>
      </c>
      <c r="B6" s="18" t="n">
        <f aca="false">COUNTIF(Postings!$G$5:$G$49,"*Indeed*")</f>
        <v>6</v>
      </c>
    </row>
    <row r="7" customFormat="false" ht="15" hidden="false" customHeight="false" outlineLevel="0" collapsed="false">
      <c r="A7" s="1" t="s">
        <v>25</v>
      </c>
      <c r="B7" s="18" t="n">
        <f aca="false">COUNTIF(Postings!$G$5:$G$49,"*LinkedIn*")</f>
        <v>9</v>
      </c>
    </row>
    <row r="8" customFormat="false" ht="15" hidden="false" customHeight="false" outlineLevel="0" collapsed="false">
      <c r="A8" s="19" t="s">
        <v>169</v>
      </c>
      <c r="B8" s="20" t="n">
        <f aca="false">SUM(B5:B7)</f>
        <v>46</v>
      </c>
    </row>
    <row r="10" customFormat="false" ht="15" hidden="false" customHeight="false" outlineLevel="0" collapsed="false">
      <c r="A10" s="17" t="s">
        <v>170</v>
      </c>
    </row>
    <row r="11" customFormat="false" ht="27.75" hidden="false" customHeight="true" outlineLevel="0" collapsed="false">
      <c r="A11" s="4" t="s">
        <v>167</v>
      </c>
      <c r="B11" s="4" t="s">
        <v>168</v>
      </c>
    </row>
    <row r="12" customFormat="false" ht="15" hidden="false" customHeight="false" outlineLevel="0" collapsed="false">
      <c r="A12" s="1" t="s">
        <v>119</v>
      </c>
      <c r="B12" s="18" t="n">
        <f aca="false">COUNTIF(Postings!$E$5:$E$49,"Abtswind")</f>
        <v>1</v>
      </c>
    </row>
    <row r="13" customFormat="false" ht="15" hidden="false" customHeight="false" outlineLevel="0" collapsed="false">
      <c r="A13" s="1" t="s">
        <v>73</v>
      </c>
      <c r="B13" s="18" t="n">
        <f aca="false">COUNTIF(Postings!$E$5:$E$49,"Altdorf bei Nürnberg")</f>
        <v>1</v>
      </c>
    </row>
    <row r="14" customFormat="false" ht="15" hidden="false" customHeight="false" outlineLevel="0" collapsed="false">
      <c r="A14" s="1" t="s">
        <v>77</v>
      </c>
      <c r="B14" s="18" t="n">
        <f aca="false">COUNTIF(Postings!$E$5:$E$49,"Baiersdorf")</f>
        <v>1</v>
      </c>
    </row>
    <row r="15" customFormat="false" ht="15" hidden="false" customHeight="false" outlineLevel="0" collapsed="false">
      <c r="A15" s="1" t="s">
        <v>46</v>
      </c>
      <c r="B15" s="18" t="n">
        <f aca="false">COUNTIF(Postings!$E$5:$E$49,"Bamberg")</f>
        <v>3</v>
      </c>
    </row>
    <row r="16" customFormat="false" ht="15" hidden="false" customHeight="false" outlineLevel="0" collapsed="false">
      <c r="A16" s="1" t="s">
        <v>17</v>
      </c>
      <c r="B16" s="18" t="n">
        <f aca="false">COUNTIF(Postings!$E$5:$E$49,"Eckental")</f>
        <v>1</v>
      </c>
    </row>
    <row r="17" customFormat="false" ht="15" hidden="false" customHeight="false" outlineLevel="0" collapsed="false">
      <c r="A17" s="1" t="s">
        <v>33</v>
      </c>
      <c r="B17" s="18" t="n">
        <f aca="false">COUNTIF(Postings!$E$5:$E$49,"Erlangen")</f>
        <v>7</v>
      </c>
    </row>
    <row r="18" customFormat="false" ht="15" hidden="false" customHeight="false" outlineLevel="0" collapsed="false">
      <c r="A18" s="1" t="s">
        <v>152</v>
      </c>
      <c r="B18" s="18" t="n">
        <f aca="false">COUNTIF(Postings!$E$5:$E$49,"Forchheim")</f>
        <v>1</v>
      </c>
    </row>
    <row r="19" customFormat="false" ht="15" hidden="false" customHeight="false" outlineLevel="0" collapsed="false">
      <c r="A19" s="1" t="s">
        <v>69</v>
      </c>
      <c r="B19" s="18" t="n">
        <f aca="false">COUNTIF(Postings!$E$5:$E$49,"Fürth")</f>
        <v>3</v>
      </c>
    </row>
    <row r="20" customFormat="false" ht="15" hidden="false" customHeight="false" outlineLevel="0" collapsed="false">
      <c r="A20" s="1" t="s">
        <v>58</v>
      </c>
      <c r="B20" s="18" t="n">
        <f aca="false">COUNTIF(Postings!$E$5:$E$49,"Heroldsberg")</f>
        <v>1</v>
      </c>
    </row>
    <row r="21" customFormat="false" ht="15" hidden="false" customHeight="false" outlineLevel="0" collapsed="false">
      <c r="A21" s="1" t="s">
        <v>86</v>
      </c>
      <c r="B21" s="18" t="n">
        <f aca="false">COUNTIF(Postings!$E$5:$E$49,"Neumarkt in der Oberpfalz")</f>
        <v>3</v>
      </c>
    </row>
    <row r="22" customFormat="false" ht="15" hidden="false" customHeight="false" outlineLevel="0" collapsed="false">
      <c r="A22" s="1" t="s">
        <v>24</v>
      </c>
      <c r="B22" s="18" t="n">
        <f aca="false">COUNTIF(Postings!$E$5:$E$49,"Nürnberg")</f>
        <v>18</v>
      </c>
    </row>
    <row r="23" customFormat="false" ht="15" hidden="false" customHeight="false" outlineLevel="0" collapsed="false">
      <c r="A23" s="1" t="s">
        <v>49</v>
      </c>
      <c r="B23" s="18" t="n">
        <f aca="false">COUNTIF(Postings!$E$5:$E$49,"Röthenbach an der Pegnitz")</f>
        <v>1</v>
      </c>
    </row>
    <row r="24" customFormat="false" ht="15" hidden="false" customHeight="false" outlineLevel="0" collapsed="false">
      <c r="A24" s="1" t="s">
        <v>106</v>
      </c>
      <c r="B24" s="18" t="n">
        <f aca="false">COUNTIF(Postings!$E$5:$E$49,"Sachsen bei Ansbach")</f>
        <v>1</v>
      </c>
    </row>
    <row r="25" customFormat="false" ht="15" hidden="false" customHeight="false" outlineLevel="0" collapsed="false">
      <c r="A25" s="1" t="s">
        <v>139</v>
      </c>
      <c r="B25" s="18" t="n">
        <f aca="false">COUNTIF(Postings!$E$5:$E$49,"Schnaittach")</f>
        <v>1</v>
      </c>
    </row>
    <row r="26" customFormat="false" ht="15" hidden="false" customHeight="false" outlineLevel="0" collapsed="false">
      <c r="A26" s="1" t="s">
        <v>149</v>
      </c>
      <c r="B26" s="18" t="n">
        <f aca="false">COUNTIF(Postings!$E$5:$E$49,"Stein bei Nürnberg")</f>
        <v>1</v>
      </c>
    </row>
    <row r="27" customFormat="false" ht="15" hidden="false" customHeight="false" outlineLevel="0" collapsed="false">
      <c r="A27" s="1" t="s">
        <v>97</v>
      </c>
      <c r="B27" s="18" t="n">
        <f aca="false">COUNTIF(Postings!$E$5:$E$49,"Wendelstein")</f>
        <v>1</v>
      </c>
    </row>
    <row r="28" customFormat="false" ht="15" hidden="false" customHeight="false" outlineLevel="0" collapsed="false">
      <c r="A28" s="19" t="s">
        <v>169</v>
      </c>
      <c r="B28" s="20" t="n">
        <f aca="false">SUM(B12:B27)</f>
        <v>45</v>
      </c>
    </row>
    <row r="30" customFormat="false" ht="15" hidden="false" customHeight="false" outlineLevel="0" collapsed="false">
      <c r="A30" s="17" t="s">
        <v>171</v>
      </c>
    </row>
    <row r="31" customFormat="false" ht="27.75" hidden="false" customHeight="true" outlineLevel="0" collapsed="false">
      <c r="A31" s="4" t="s">
        <v>167</v>
      </c>
      <c r="B31" s="4" t="s">
        <v>168</v>
      </c>
    </row>
    <row r="32" customFormat="false" ht="15" hidden="false" customHeight="false" outlineLevel="0" collapsed="false">
      <c r="A32" s="1" t="s">
        <v>172</v>
      </c>
      <c r="B32" s="18" t="n">
        <f aca="false">COUNTIF(Postings!$B$5:$B$49,"2026-10-12")</f>
        <v>3</v>
      </c>
    </row>
    <row r="33" customFormat="false" ht="15" hidden="false" customHeight="false" outlineLevel="0" collapsed="false">
      <c r="A33" s="1" t="s">
        <v>173</v>
      </c>
      <c r="B33" s="18" t="n">
        <f aca="false">COUNTIF(Postings!$B$5:$B$49,"2026-10-11")</f>
        <v>1</v>
      </c>
    </row>
    <row r="34" customFormat="false" ht="15" hidden="false" customHeight="false" outlineLevel="0" collapsed="false">
      <c r="A34" s="1" t="s">
        <v>174</v>
      </c>
      <c r="B34" s="18" t="n">
        <f aca="false">COUNTIF(Postings!$B$5:$B$49,"2026-10-09")</f>
        <v>9</v>
      </c>
    </row>
    <row r="35" customFormat="false" ht="15" hidden="false" customHeight="false" outlineLevel="0" collapsed="false">
      <c r="A35" s="1" t="s">
        <v>175</v>
      </c>
      <c r="B35" s="18" t="n">
        <f aca="false">COUNTIF(Postings!$B$5:$B$49,"2026-10-08")</f>
        <v>2</v>
      </c>
    </row>
    <row r="36" customFormat="false" ht="15" hidden="false" customHeight="false" outlineLevel="0" collapsed="false">
      <c r="A36" s="1" t="s">
        <v>176</v>
      </c>
      <c r="B36" s="18" t="n">
        <f aca="false">COUNTIF(Postings!$B$5:$B$49,"2026-10-07")</f>
        <v>4</v>
      </c>
    </row>
    <row r="37" customFormat="false" ht="15" hidden="false" customHeight="false" outlineLevel="0" collapsed="false">
      <c r="A37" s="1" t="s">
        <v>177</v>
      </c>
      <c r="B37" s="18" t="n">
        <f aca="false">COUNTIF(Postings!$B$5:$B$49,"2026-10-06")</f>
        <v>5</v>
      </c>
    </row>
    <row r="38" customFormat="false" ht="15" hidden="false" customHeight="false" outlineLevel="0" collapsed="false">
      <c r="A38" s="1" t="s">
        <v>178</v>
      </c>
      <c r="B38" s="18" t="n">
        <f aca="false">COUNTIF(Postings!$B$5:$B$49,"2026-10-05")</f>
        <v>1</v>
      </c>
    </row>
    <row r="39" customFormat="false" ht="15" hidden="false" customHeight="false" outlineLevel="0" collapsed="false">
      <c r="A39" s="1" t="s">
        <v>179</v>
      </c>
      <c r="B39" s="18" t="n">
        <f aca="false">COUNTIF(Postings!$B$5:$B$49,"2026-10-04")</f>
        <v>1</v>
      </c>
    </row>
    <row r="40" customFormat="false" ht="15" hidden="false" customHeight="false" outlineLevel="0" collapsed="false">
      <c r="A40" s="1" t="s">
        <v>180</v>
      </c>
      <c r="B40" s="18" t="n">
        <f aca="false">COUNTIF(Postings!$B$5:$B$49,"2026-10-02")</f>
        <v>7</v>
      </c>
    </row>
    <row r="41" customFormat="false" ht="15" hidden="false" customHeight="false" outlineLevel="0" collapsed="false">
      <c r="A41" s="1" t="s">
        <v>181</v>
      </c>
      <c r="B41" s="18" t="n">
        <f aca="false">COUNTIF(Postings!$B$5:$B$49,"2026-10-01")</f>
        <v>3</v>
      </c>
    </row>
    <row r="42" customFormat="false" ht="15" hidden="false" customHeight="false" outlineLevel="0" collapsed="false">
      <c r="A42" s="1" t="s">
        <v>182</v>
      </c>
      <c r="B42" s="18" t="n">
        <f aca="false">COUNTIF(Postings!$B$5:$B$49,"2026-09-30")</f>
        <v>3</v>
      </c>
    </row>
    <row r="43" customFormat="false" ht="15" hidden="false" customHeight="false" outlineLevel="0" collapsed="false">
      <c r="A43" s="1" t="s">
        <v>183</v>
      </c>
      <c r="B43" s="18" t="n">
        <f aca="false">COUNTIF(Postings!$B$5:$B$49,"2026-09-28")</f>
        <v>6</v>
      </c>
    </row>
    <row r="44" customFormat="false" ht="15" hidden="false" customHeight="false" outlineLevel="0" collapsed="false">
      <c r="A44" s="19" t="s">
        <v>169</v>
      </c>
      <c r="B44" s="20" t="n">
        <f aca="false">SUM(B32:B43)</f>
        <v>45</v>
      </c>
    </row>
    <row r="46" customFormat="false" ht="15" hidden="false" customHeight="false" outlineLevel="0" collapsed="false">
      <c r="A46" s="19" t="s">
        <v>184</v>
      </c>
      <c r="B46" s="18" t="n">
        <f aca="false">COUNTIF(Postings!$L$5:$L$49,"yes")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10"/>
    <col collapsed="false" customWidth="true" hidden="false" outlineLevel="0" max="3" min="3" style="1" width="44"/>
    <col collapsed="false" customWidth="true" hidden="false" outlineLevel="0" max="4" min="4" style="1" width="28"/>
  </cols>
  <sheetData>
    <row r="1" customFormat="false" ht="27.75" hidden="false" customHeight="true" outlineLevel="0" collapsed="false">
      <c r="A1" s="4" t="s">
        <v>185</v>
      </c>
      <c r="B1" s="4" t="s">
        <v>186</v>
      </c>
      <c r="C1" s="4" t="s">
        <v>187</v>
      </c>
      <c r="D1" s="4" t="s">
        <v>188</v>
      </c>
    </row>
    <row r="2" customFormat="false" ht="15" hidden="false" customHeight="false" outlineLevel="0" collapsed="false">
      <c r="A2" s="1" t="s">
        <v>189</v>
      </c>
      <c r="B2" s="1" t="n">
        <v>45</v>
      </c>
      <c r="C2" s="1" t="n">
        <f aca="false">COUNTA(Postings!C5:C49)</f>
        <v>45</v>
      </c>
      <c r="D2" s="1" t="str">
        <f aca="false">IF(B2=C2,"PASS","FAIL")</f>
        <v>PASS</v>
      </c>
    </row>
    <row r="3" customFormat="false" ht="15" hidden="false" customHeight="false" outlineLevel="0" collapsed="false">
      <c r="A3" s="1" t="s">
        <v>190</v>
      </c>
      <c r="B3" s="1" t="n">
        <v>5</v>
      </c>
      <c r="C3" s="1" t="n">
        <f aca="false">COUNTIF(Postings!L5:L49,"yes")</f>
        <v>5</v>
      </c>
      <c r="D3" s="1" t="str">
        <f aca="false">IF(B3=C3,"PASS","FAIL")</f>
        <v>PASS</v>
      </c>
    </row>
    <row r="4" customFormat="false" ht="15" hidden="false" customHeight="false" outlineLevel="0" collapsed="false">
      <c r="A4" s="1" t="s">
        <v>191</v>
      </c>
      <c r="B4" s="1" t="s">
        <v>192</v>
      </c>
      <c r="C4" s="1" t="b">
        <f aca="true">MIN(Postings!B5:B49)&gt;=DATE(YEAR(TODAY()),MONTH(TODAY()-14),DAY(TODAY()-14))</f>
        <v>1</v>
      </c>
      <c r="D4" s="1" t="str">
        <f aca="false">IF(C4=TRUE(),"PASS","FAIL")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2026-10-12T08:16:39Z</dcterms:created>
  <dc:creator>Z.ai</dc:creator>
  <dc:description/>
  <dc:language>en-US</dc:language>
  <cp:lastModifiedBy/>
  <dcterms:modified xsi:type="dcterms:W3CDTF">2026-10-12T08:16:39Z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