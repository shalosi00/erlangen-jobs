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Funnel" sheetId="2" state="visible" r:id="rId4"/>
    <sheet name="Playbook" sheetId="3" state="visible" r:id="rId5"/>
  </sheets>
  <definedNames>
    <definedName function="false" hidden="true" localSheetId="0" name="_xlnm._FilterDatabase" vbProcedure="false">Tracker!$B$4:$N$50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<sst xmlns="http://schemas.openxmlformats.org/spreadsheetml/2006/main" count="431" uniqueCount="255">
  <si>
    <t xml:space="preserve">FISI Job Search Tracker — Application Funnel</t>
  </si>
  <si>
    <t xml:space="preserve">seeded 2026-10-15 from download/jobs_latest.csv (2026-10-14 15:05 run) · followup_due = applied_date + 7 d · statuses per research/3-a A1</t>
  </si>
  <si>
    <t xml:space="preserve">id</t>
  </si>
  <si>
    <t xml:space="preserve">company</t>
  </si>
  <si>
    <t xml:space="preserve">role</t>
  </si>
  <si>
    <t xml:space="preserve">city</t>
  </si>
  <si>
    <t xml:space="preserve">source</t>
  </si>
  <si>
    <t xml:space="preserve">transit</t>
  </si>
  <si>
    <t xml:space="preserve">first_seen</t>
  </si>
  <si>
    <t xml:space="preserve">status</t>
  </si>
  <si>
    <t xml:space="preserve">applied_date</t>
  </si>
  <si>
    <t xml:space="preserve">followup_due</t>
  </si>
  <si>
    <t xml:space="preserve">fit</t>
  </si>
  <si>
    <t xml:space="preserve">url</t>
  </si>
  <si>
    <t xml:space="preserve">notes</t>
  </si>
  <si>
    <t xml:space="preserve">f4b5513939</t>
  </si>
  <si>
    <t xml:space="preserve">PAMEC PAPP GmbH</t>
  </si>
  <si>
    <t xml:space="preserve">Mitarbeiter (gn) 1st Level Support</t>
  </si>
  <si>
    <t xml:space="preserve">Nürnberg, Mittelfranken</t>
  </si>
  <si>
    <t xml:space="preserve">BA</t>
  </si>
  <si>
    <t xml:space="preserve">0-xfer (14min)</t>
  </si>
  <si>
    <t xml:space="preserve">discovered</t>
  </si>
  <si>
    <t xml:space="preserve">https://www.arbeitsagentur.de/jobsuche/jobdetail/12310-2AYAV2GGEML8HP4M-S</t>
  </si>
  <si>
    <t xml:space="preserve">059fc826c0</t>
  </si>
  <si>
    <t xml:space="preserve">BAVARIAHEADHUNTER Schlegel &amp; Wegner GbR</t>
  </si>
  <si>
    <t xml:space="preserve">Fachinformatiker Systemintegration (m/w/d) - ID 7285</t>
  </si>
  <si>
    <t xml:space="preserve">Erlangen</t>
  </si>
  <si>
    <t xml:space="preserve">Kimeta</t>
  </si>
  <si>
    <t xml:space="preserve">0-xfer (0min)</t>
  </si>
  <si>
    <t xml:space="preserve">https://www.kimeta.de/display-job/bavariaheadhunter-schlegel-wegner/fachinformatiker-systemintegration-m-w-d-id-7285/972430612.html</t>
  </si>
  <si>
    <t xml:space="preserve">1beda5a947</t>
  </si>
  <si>
    <t xml:space="preserve">Fachinformatiker Systemintegration (m/w/d)</t>
  </si>
  <si>
    <t xml:space="preserve">Nürnberg</t>
  </si>
  <si>
    <t xml:space="preserve">https://www.kimeta.de/display-job/fachinformatiker-systemintegration-m-w-d/975620364.html</t>
  </si>
  <si>
    <t xml:space="preserve">695a018f80</t>
  </si>
  <si>
    <t xml:space="preserve">Hahn GmbH</t>
  </si>
  <si>
    <t xml:space="preserve">Technischer Kundenbetreuer - Fachinformatiker für Systemintegration (m/w)</t>
  </si>
  <si>
    <t xml:space="preserve">90571 Schwaig bei Nürnberg</t>
  </si>
  <si>
    <t xml:space="preserve">https://www.kimeta.de/display-job/hahn-immobilien-beteiligungs-ag/technischer-kundenbetreuer-fachinformatiker-fuer-systemintegration-m-w/965192470.html</t>
  </si>
  <si>
    <t xml:space="preserve">42d8e64cf5</t>
  </si>
  <si>
    <t xml:space="preserve">puro Personaldienstleistung GmbH</t>
  </si>
  <si>
    <t xml:space="preserve">Servicetechniker (m/w/d) IT Support und Kundenservice</t>
  </si>
  <si>
    <t xml:space="preserve">Hallstadt</t>
  </si>
  <si>
    <t xml:space="preserve">0-xfer (30min)</t>
  </si>
  <si>
    <t xml:space="preserve">https://www.arbeitsagentur.de/jobsuche/jobdetail/13669-TT4FUBLV8JWAZIVD-S</t>
  </si>
  <si>
    <t xml:space="preserve">1a4d2b7854</t>
  </si>
  <si>
    <t xml:space="preserve">Minderleinsmühle GmbH &amp; Co. KG Andreas Hubmann</t>
  </si>
  <si>
    <t xml:space="preserve">IT-Spezialist KI &amp; Digitalisierung (m/w/d)</t>
  </si>
  <si>
    <t xml:space="preserve">Neunkirchen am Brand</t>
  </si>
  <si>
    <t xml:space="preserve">none</t>
  </si>
  <si>
    <t xml:space="preserve">https://www.arbeitsagentur.de/jobsuche/jobdetail/10000-1208271879-S</t>
  </si>
  <si>
    <t xml:space="preserve">537fda9e37</t>
  </si>
  <si>
    <t xml:space="preserve">set - software engineering gmbh</t>
  </si>
  <si>
    <t xml:space="preserve">DevOps Platform Engineer OpenShift (m/w/d)</t>
  </si>
  <si>
    <t xml:space="preserve">https://www.arbeitsagentur.de/jobsuche/jobdetail/10001-1003848227-S</t>
  </si>
  <si>
    <t xml:space="preserve">a6b4d86a08</t>
  </si>
  <si>
    <t xml:space="preserve">cns computer &amp; netzwerk service gmbh</t>
  </si>
  <si>
    <t xml:space="preserve">Fürth, Bayern</t>
  </si>
  <si>
    <t xml:space="preserve">0-xfer (7min)</t>
  </si>
  <si>
    <t xml:space="preserve">https://www.arbeitsagentur.de/jobsuche/jobdetail/10000-1208259481-S</t>
  </si>
  <si>
    <t xml:space="preserve">e55799d80d</t>
  </si>
  <si>
    <t xml:space="preserve">IT-Systemadministrator (m/w/d)</t>
  </si>
  <si>
    <t xml:space="preserve">https://www.arbeitsagentur.de/jobsuche/jobdetail/10000-1208259068-S</t>
  </si>
  <si>
    <t xml:space="preserve">2ec5f77c7e</t>
  </si>
  <si>
    <t xml:space="preserve">H&amp;P Höhnen &amp; Partner</t>
  </si>
  <si>
    <t xml:space="preserve">IT-Administrator (m/w/d)</t>
  </si>
  <si>
    <t xml:space="preserve">Bamberg</t>
  </si>
  <si>
    <t xml:space="preserve">InFranken</t>
  </si>
  <si>
    <t xml:space="preserve">0-xfer (20min)</t>
  </si>
  <si>
    <t xml:space="preserve">https://jobs.infranken.de/jobs/16416872/IT_Administrator_(m_w_d)_Bamberg_HundP_H%C3%B6hnen_und</t>
  </si>
  <si>
    <t xml:space="preserve">bf37cadfac</t>
  </si>
  <si>
    <t xml:space="preserve">Helmi Göttler Private Arbeitsvermittlung</t>
  </si>
  <si>
    <t xml:space="preserve">Talent.com+XING</t>
  </si>
  <si>
    <t xml:space="preserve">https://www.xing.com/jobs/erlangen-it-administrator-158493371</t>
  </si>
  <si>
    <t xml:space="preserve">fdc6559c76</t>
  </si>
  <si>
    <t xml:space="preserve">ncsolution GmbH</t>
  </si>
  <si>
    <t xml:space="preserve">https://www.arbeitsagentur.de/jobsuche/jobdetail/10001-1003832993-S</t>
  </si>
  <si>
    <t xml:space="preserve">5ff196192c</t>
  </si>
  <si>
    <t xml:space="preserve">ANG GmbH</t>
  </si>
  <si>
    <t xml:space="preserve">Systemadministrator (m/w/d)</t>
  </si>
  <si>
    <t xml:space="preserve">https://www.arbeitsagentur.de/jobsuche/jobdetail/10001-1003834249-S</t>
  </si>
  <si>
    <t xml:space="preserve">373961e79c</t>
  </si>
  <si>
    <t xml:space="preserve">Neumüller Personalberatung Regina Neumüller e.K.</t>
  </si>
  <si>
    <t xml:space="preserve">Junior IT- System Administrator (m/w/d)</t>
  </si>
  <si>
    <t xml:space="preserve">https://www.arbeitsagentur.de/jobsuche/jobdetail/10001-1003830628-S</t>
  </si>
  <si>
    <t xml:space="preserve">c2d696535e</t>
  </si>
  <si>
    <t xml:space="preserve">NConsult GmbH</t>
  </si>
  <si>
    <t xml:space="preserve">Mitarbeiter IT-Support | Administration | Projekte (m/w/d)</t>
  </si>
  <si>
    <t xml:space="preserve">https://www.arbeitsagentur.de/jobsuche/jobdetail/10001-1003830762-S</t>
  </si>
  <si>
    <t xml:space="preserve">9c281e389a</t>
  </si>
  <si>
    <t xml:space="preserve">1st Level Supporter (m/w/d)</t>
  </si>
  <si>
    <t xml:space="preserve">https://www.arbeitsagentur.de/jobsuche/jobdetail/10001-1003830672-S</t>
  </si>
  <si>
    <t xml:space="preserve">2a9ca85e56</t>
  </si>
  <si>
    <t xml:space="preserve">IT Specialist (m/w/d) - Clientmanagement</t>
  </si>
  <si>
    <t xml:space="preserve">Röthenbach an der Pegnitz</t>
  </si>
  <si>
    <t xml:space="preserve">https://www.arbeitsagentur.de/jobsuche/jobdetail/10001-1003831106-S</t>
  </si>
  <si>
    <t xml:space="preserve">7f2a603704</t>
  </si>
  <si>
    <t xml:space="preserve">Linux Administrator (m/w/d)</t>
  </si>
  <si>
    <t xml:space="preserve">https://www.arbeitsagentur.de/jobsuche/jobdetail/10001-1003830208-S</t>
  </si>
  <si>
    <t xml:space="preserve">56e3b57726</t>
  </si>
  <si>
    <t xml:space="preserve">Akkodis Germany Tech Experts GmbH</t>
  </si>
  <si>
    <t xml:space="preserve">https://www.arbeitsagentur.de/jobsuche/jobdetail/12634-BB-646012-7878-6530-S</t>
  </si>
  <si>
    <t xml:space="preserve">0859e1138d</t>
  </si>
  <si>
    <t xml:space="preserve">BFI Informationssysteme GmbH</t>
  </si>
  <si>
    <t xml:space="preserve">IT Support Mitarbeiter (m/w/d) Netzwerktechnik</t>
  </si>
  <si>
    <t xml:space="preserve">https://www.arbeitsagentur.de/jobsuche/jobdetail/15297-0ahr6g81-S</t>
  </si>
  <si>
    <t xml:space="preserve">f29a7dd34d</t>
  </si>
  <si>
    <t xml:space="preserve">Suspa GmbH Betriebsstätte Altdorf</t>
  </si>
  <si>
    <t xml:space="preserve">Systemadministrator Netzwerk &amp; Security</t>
  </si>
  <si>
    <t xml:space="preserve">Altdorf bei Nürnberg</t>
  </si>
  <si>
    <t xml:space="preserve">1-xfer</t>
  </si>
  <si>
    <t xml:space="preserve">https://www.arbeitsagentur.de/jobsuche/jobdetail/10001-1003820240-S</t>
  </si>
  <si>
    <t xml:space="preserve">15bef6b60a</t>
  </si>
  <si>
    <t xml:space="preserve">IT-Service Desk Mitarbeiter (m/w/d) - Referenznummer: 061026-3-NBG</t>
  </si>
  <si>
    <t xml:space="preserve">https://www.arbeitsagentur.de/jobsuche/jobdetail/15297-2u0wf5wb-S</t>
  </si>
  <si>
    <t xml:space="preserve">84310fbf83</t>
  </si>
  <si>
    <t xml:space="preserve">IT System Engineer (m/w/d) z/OS Netzwerk und Security</t>
  </si>
  <si>
    <t xml:space="preserve">https://www.arbeitsagentur.de/jobsuche/jobdetail/12634-BB-645864-7878-8663-S</t>
  </si>
  <si>
    <t xml:space="preserve">ef920652df</t>
  </si>
  <si>
    <t xml:space="preserve">Neumarkt in der Oberpfalz</t>
  </si>
  <si>
    <t xml:space="preserve">https://www.arbeitsagentur.de/jobsuche/jobdetail/13669-B4QJPZOZC7TLDT27-S</t>
  </si>
  <si>
    <t xml:space="preserve">804639fcaa</t>
  </si>
  <si>
    <t xml:space="preserve">Brunel GmbH NL Mannheim</t>
  </si>
  <si>
    <t xml:space="preserve">IT-Spezialist (w/m/d)</t>
  </si>
  <si>
    <t xml:space="preserve">BA+XING</t>
  </si>
  <si>
    <t xml:space="preserve">https://www.arbeitsagentur.de/jobsuche/jobdetail/12362-TR-300879_624701LS-S</t>
  </si>
  <si>
    <t xml:space="preserve">fbb754a462</t>
  </si>
  <si>
    <t xml:space="preserve">FERCHAU GmbH Niederlassung Nürnberg City</t>
  </si>
  <si>
    <t xml:space="preserve">IT-Spezialist Netzwerk &amp; Connectivity (m/w/d)</t>
  </si>
  <si>
    <t xml:space="preserve">https://www.arbeitsagentur.de/jobsuche/jobdetail/12265-516301_JB5262829-S</t>
  </si>
  <si>
    <t xml:space="preserve">c47162e723</t>
  </si>
  <si>
    <t xml:space="preserve">SIMBA DICKIE GROUP GMBH</t>
  </si>
  <si>
    <t xml:space="preserve">(Junior) IT Manager First Level Support (m/w/d)</t>
  </si>
  <si>
    <t xml:space="preserve">Fürth</t>
  </si>
  <si>
    <t xml:space="preserve">Indeed</t>
  </si>
  <si>
    <t xml:space="preserve">https://de.indeed.com/viewjob?jk=2fc62b848db1054e</t>
  </si>
  <si>
    <t xml:space="preserve">77afdb7c13</t>
  </si>
  <si>
    <t xml:space="preserve">HEGMANNS Gruppe</t>
  </si>
  <si>
    <t xml:space="preserve">https://de.indeed.com/viewjob?jk=b784cbebc0c60fd4</t>
  </si>
  <si>
    <t xml:space="preserve">a11270084c</t>
  </si>
  <si>
    <t xml:space="preserve">System Engineer (m/w/d) Linux</t>
  </si>
  <si>
    <t xml:space="preserve">https://www.arbeitsagentur.de/jobsuche/jobdetail/12634-BB-645665-7878-7513-S</t>
  </si>
  <si>
    <t xml:space="preserve">18655b66ac</t>
  </si>
  <si>
    <t xml:space="preserve">"Mein Sport? IT Support!", Supporter (m/w/d) im Help Desk</t>
  </si>
  <si>
    <t xml:space="preserve">https://www.arbeitsagentur.de/jobsuche/jobdetail/12634-BB-645656-7878-5866-S</t>
  </si>
  <si>
    <t xml:space="preserve">3f94e6736b</t>
  </si>
  <si>
    <t xml:space="preserve">System Engineer Netzwerk (m/w/d)</t>
  </si>
  <si>
    <t xml:space="preserve">https://www.arbeitsagentur.de/jobsuche/jobdetail/12634-BB-645661-7878-3965-S</t>
  </si>
  <si>
    <t xml:space="preserve">78882b114a</t>
  </si>
  <si>
    <t xml:space="preserve">Systemmanager (m/w/d) für Linux Netzwerkinfrastruktur</t>
  </si>
  <si>
    <t xml:space="preserve">https://www.arbeitsagentur.de/jobsuche/jobdetail/12265-522292_JB5259677-S</t>
  </si>
  <si>
    <t xml:space="preserve">ebb04d69a4</t>
  </si>
  <si>
    <t xml:space="preserve">Professional System Engineer / IT System Administrator Test- &amp; Plattformbetrieb (m/w/d)</t>
  </si>
  <si>
    <t xml:space="preserve">https://www.arbeitsagentur.de/jobsuche/jobdetail/12634-BB-645620-7878-4652-S</t>
  </si>
  <si>
    <t xml:space="preserve">1bca89b8a9</t>
  </si>
  <si>
    <t xml:space="preserve">i k hofmann</t>
  </si>
  <si>
    <t xml:space="preserve">Elektroniker - Systemintegration (m/w/d)</t>
  </si>
  <si>
    <t xml:space="preserve">Talent.com</t>
  </si>
  <si>
    <t xml:space="preserve">https://de.talent.com/view?id=534434325413693414</t>
  </si>
  <si>
    <t xml:space="preserve">ed73692695</t>
  </si>
  <si>
    <t xml:space="preserve">Capgemini</t>
  </si>
  <si>
    <t xml:space="preserve">DevOps Engineer (w/m/d)</t>
  </si>
  <si>
    <t xml:space="preserve">Get-in-IT</t>
  </si>
  <si>
    <t xml:space="preserve">https://www.get-in-it.de/jobsuche/p311769</t>
  </si>
  <si>
    <t xml:space="preserve">59a93a8a71</t>
  </si>
  <si>
    <t xml:space="preserve">pace-IT GmbH</t>
  </si>
  <si>
    <t xml:space="preserve">https://www.get-in-it.de/jobsuche/p313176</t>
  </si>
  <si>
    <t xml:space="preserve">b3943614e9</t>
  </si>
  <si>
    <t xml:space="preserve">DMG MORI Digital GmbH</t>
  </si>
  <si>
    <t xml:space="preserve">IT-Systemadministrator (m/w/d) - Azure &amp; IT Operations</t>
  </si>
  <si>
    <t xml:space="preserve">https://www.get-in-it.de/jobsuche/p313154</t>
  </si>
  <si>
    <t xml:space="preserve">5031965d1a</t>
  </si>
  <si>
    <t xml:space="preserve">Johanniter-Unfall-Hilfe e.V.</t>
  </si>
  <si>
    <t xml:space="preserve">https://www.get-in-it.de/jobsuche/p313305</t>
  </si>
  <si>
    <t xml:space="preserve">f81f3178c0</t>
  </si>
  <si>
    <t xml:space="preserve">Fullstack Developer (m/w/d) Angular, Go &amp; Linux</t>
  </si>
  <si>
    <t xml:space="preserve">https://www.get-in-it.de/jobsuche/p313158</t>
  </si>
  <si>
    <t xml:space="preserve">24e57dfbe0</t>
  </si>
  <si>
    <t xml:space="preserve">iq intelligentes ingenieur management</t>
  </si>
  <si>
    <t xml:space="preserve">Forchheim,</t>
  </si>
  <si>
    <t xml:space="preserve">https://de.talent.com/view?id=639684886573615425</t>
  </si>
  <si>
    <t xml:space="preserve">677863afdf</t>
  </si>
  <si>
    <t xml:space="preserve">siemens</t>
  </si>
  <si>
    <t xml:space="preserve">Systembetreuer (w/m/d) für Rechenzentrumsbetrieb</t>
  </si>
  <si>
    <t xml:space="preserve">Erlangen,</t>
  </si>
  <si>
    <t xml:space="preserve">https://de.talent.com/view?id=627479271688373604</t>
  </si>
  <si>
    <t xml:space="preserve">2785648911</t>
  </si>
  <si>
    <t xml:space="preserve">brandad group</t>
  </si>
  <si>
    <t xml:space="preserve">Fürth,</t>
  </si>
  <si>
    <t xml:space="preserve">https://de.talent.com/view?id=618470822195172825</t>
  </si>
  <si>
    <t xml:space="preserve">d5e3df89d7</t>
  </si>
  <si>
    <t xml:space="preserve">michael schmidt it</t>
  </si>
  <si>
    <t xml:space="preserve">IT-Support Mitarbeiter (m/w/x)</t>
  </si>
  <si>
    <t xml:space="preserve">https://de.talent.com/view?id=613467225960220091</t>
  </si>
  <si>
    <t xml:space="preserve">ce6fd5ab62</t>
  </si>
  <si>
    <t xml:space="preserve">schilling domke</t>
  </si>
  <si>
    <t xml:space="preserve">Informatiker (m/w/d) System - &amp;Netzwerkadministration</t>
  </si>
  <si>
    <t xml:space="preserve">https://de.talent.com/view?id=639047614836646720</t>
  </si>
  <si>
    <t xml:space="preserve">3758d1f506</t>
  </si>
  <si>
    <t xml:space="preserve">frankonia vermogensverwaltungs und beteiligungsgesellschaft</t>
  </si>
  <si>
    <t xml:space="preserve">https://de.talent.com/view?id=631039692406393134</t>
  </si>
  <si>
    <t xml:space="preserve">65357261dc</t>
  </si>
  <si>
    <t xml:space="preserve">techlister</t>
  </si>
  <si>
    <t xml:space="preserve">https://de.talent.com/view?id=588259219535768316</t>
  </si>
  <si>
    <t xml:space="preserve">Funnel Metrics — Friday Review</t>
  </si>
  <si>
    <t xml:space="preserve">live formulas over the Tracker sheet · research/3-a A5: review weekly, shift effort toward what produces interviews</t>
  </si>
  <si>
    <t xml:space="preserve">metric</t>
  </si>
  <si>
    <t xml:space="preserve">value</t>
  </si>
  <si>
    <t xml:space="preserve">target / reading</t>
  </si>
  <si>
    <t xml:space="preserve">postings in tracker</t>
  </si>
  <si>
    <t xml:space="preserve">top of funnel = pipeline input</t>
  </si>
  <si>
    <t xml:space="preserve">discovered (unreviewed)</t>
  </si>
  <si>
    <t xml:space="preserve">review these Friday → shortlist or close</t>
  </si>
  <si>
    <t xml:space="preserve">shortlisted</t>
  </si>
  <si>
    <t xml:space="preserve">tailoring budget goes here (3–5 h/app in DE)</t>
  </si>
  <si>
    <t xml:space="preserve">applied</t>
  </si>
  <si>
    <t xml:space="preserve">interviewing</t>
  </si>
  <si>
    <t xml:space="preserve">offer</t>
  </si>
  <si>
    <t xml:space="preserve">closed / rejected</t>
  </si>
  <si>
    <t xml:space="preserve">keep for conversion math</t>
  </si>
  <si>
    <t xml:space="preserve">follow-ups OVERDUE</t>
  </si>
  <si>
    <t xml:space="preserve">0 = on-cadence (5–7 d rule)</t>
  </si>
  <si>
    <t xml:space="preserve">conversion: applied→interview+</t>
  </si>
  <si>
    <t xml:space="preserve">benchmark ~12% (4 of 32); below → fix resume/top-of-funnel</t>
  </si>
  <si>
    <t xml:space="preserve">conversion: interview+→offer</t>
  </si>
  <si>
    <t xml:space="preserve">below ~20% → practice interviews, not more applications</t>
  </si>
  <si>
    <t xml:space="preserve">rows</t>
  </si>
  <si>
    <t xml:space="preserve">active</t>
  </si>
  <si>
    <t xml:space="preserve">source yield: keep feeding sources with high active/rows ratio; demote sources that never produce shortlisted rows (research/3-a B5)</t>
  </si>
  <si>
    <t xml:space="preserve">Playbook — How to Run This File</t>
  </si>
  <si>
    <t xml:space="preserve">methodology from research/3-a (Cruit funnel, eztrackr columns, St. Louis Fed timing, Indeed/Muse follow-up cadence)</t>
  </si>
  <si>
    <t xml:space="preserve">Statuses (the MVP column — update it, everything else computes itself)</t>
  </si>
  <si>
    <t xml:space="preserve">• discovered — pulled by the pipeline, not reviewed yet</t>
  </si>
  <si>
    <t xml:space="preserve">• shortlisted — worth tailoring a real application (the 3–5 h budget goes here)</t>
  </si>
  <si>
    <t xml:space="preserve">• applied — sent; followup_due auto-fills +7 days (5–7 business-day rule)</t>
  </si>
  <si>
    <t xml:space="preserve">• interviewing — any human contact; log notes + contact name</t>
  </si>
  <si>
    <t xml:space="preserve">• offer — negotiate; everything before this was cost</t>
  </si>
  <si>
    <t xml:space="preserve">• closed — you withdrew or the role died; rejected — they said no. Keep both for funnel math.</t>
  </si>
  <si>
    <t xml:space="preserve">The weekly loop (Friday, 10 minutes)</t>
  </si>
  <si>
    <t xml:space="preserve">• 1. Funnel sheet: check follow-ups OVERDUE = 0, send any overdue follow-ups</t>
  </si>
  <si>
    <t xml:space="preserve">• 2. Review every 'discovered' row: shortlist or close — never leave them piling up</t>
  </si>
  <si>
    <t xml:space="preserve">• 3. Read the two conversion rates; act on the LEAKING stage, not the loudest one</t>
  </si>
  <si>
    <t xml:space="preserve">• 4. Source yield: demote sources with zero shortlisted rows after ~3 weeks</t>
  </si>
  <si>
    <t xml:space="preserve">• 5. Commit the file to git (same rule as the escrow — it must never be lost)</t>
  </si>
  <si>
    <t xml:space="preserve">Base rates to calibrate against (research/3-a A2)</t>
  </si>
  <si>
    <t xml:space="preserve">• ~32 applications → 4 interviews → 1 offer (2025 avg; The Interview Guys)</t>
  </si>
  <si>
    <t xml:space="preserve">• median 68.5 days to first offer; 100–200 applications total is normal</t>
  </si>
  <si>
    <t xml:space="preserve">• Germany junior IT: 3–6 months is NORMAL; one logged search: 12.5 apps/month for 11 months</t>
  </si>
  <si>
    <t xml:space="preserve">• apply inside the first 48 h of a posting — 41% of all competition does (St. Louis Fed)</t>
  </si>
  <si>
    <t xml:space="preserve">• Tue–Thu 8–11 AM sends get the best response; never Friday afternoon</t>
  </si>
  <si>
    <t xml:space="preserve">File rules (research/3-a B1–B3)</t>
  </si>
  <si>
    <t xml:space="preserve">• one row per posting, keyed by the id hash of the URL — never apply twice</t>
  </si>
  <si>
    <t xml:space="preserve">• statuses change in place; dates accumulate — the history IS the funnel data</t>
  </si>
  <si>
    <t xml:space="preserve">• CSV twin ships alongside for tools that outlive Excel; both are committed to git</t>
  </si>
  <si>
    <t xml:space="preserve">• daily pipeline CSVs in download/daily/ are INPUTS to this file, not a replacement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</si>
</sst>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2"/>
      <color rgb="FF1B2A4A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EF9E7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ont>
        <color rgb="FFD4820A"/>
      </font>
      <fill>
        <patternFill>
          <bgColor rgb="FFFEF9E7"/>
        </patternFill>
      </fill>
    </dxf>
    <dxf>
      <font>
        <color rgb="FF1B7D46"/>
      </font>
      <fill>
        <patternFill>
          <bgColor rgb="FFE8F5E9"/>
        </patternFill>
      </fill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EF9E7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F7F7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4" min="3" style="1" width="34"/>
    <col collapsed="false" customWidth="true" hidden="false" outlineLevel="0" max="5" min="5" style="1" width="28"/>
    <col collapsed="false" customWidth="true" hidden="false" outlineLevel="0" max="6" min="6" style="1" width="17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0" min="10" style="1" width="8"/>
    <col collapsed="false" customWidth="true" hidden="false" outlineLevel="0" max="11" min="11" style="1" width="34"/>
    <col collapsed="false" customWidth="true" hidden="false" outlineLevel="0" max="12" min="12" style="1" width="8"/>
    <col collapsed="false" customWidth="true" hidden="false" outlineLevel="0" max="13" min="13" style="1" width="34"/>
    <col collapsed="false" customWidth="true" hidden="false" outlineLevel="0" max="14" min="14" style="1" width="28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customFormat="false" ht="21.75" hidden="false" customHeight="true" outlineLevel="0" collapsed="false">
      <c r="B5" s="5" t="s">
        <v>15</v>
      </c>
      <c r="C5" s="6" t="s">
        <v>16</v>
      </c>
      <c r="D5" s="6" t="s">
        <v>17</v>
      </c>
      <c r="E5" s="5" t="s">
        <v>18</v>
      </c>
      <c r="F5" s="5" t="s">
        <v>19</v>
      </c>
      <c r="G5" s="5" t="s">
        <v>20</v>
      </c>
      <c r="H5" s="7" t="n">
        <v>46309</v>
      </c>
      <c r="I5" s="8" t="s">
        <v>21</v>
      </c>
      <c r="J5" s="7"/>
      <c r="K5" s="7" t="str">
        <f aca="false">IF(AND($J5&lt;&gt;"",$I5="applied"),$J5+7,"")</f>
        <v/>
      </c>
      <c r="L5" s="8"/>
      <c r="M5" s="6" t="s">
        <v>22</v>
      </c>
      <c r="N5" s="5"/>
    </row>
    <row r="6" customFormat="false" ht="21.75" hidden="false" customHeight="true" outlineLevel="0" collapsed="false">
      <c r="B6" s="9" t="s">
        <v>23</v>
      </c>
      <c r="C6" s="10" t="s">
        <v>24</v>
      </c>
      <c r="D6" s="10" t="s">
        <v>25</v>
      </c>
      <c r="E6" s="9" t="s">
        <v>26</v>
      </c>
      <c r="F6" s="9" t="s">
        <v>27</v>
      </c>
      <c r="G6" s="9" t="s">
        <v>28</v>
      </c>
      <c r="H6" s="11" t="n">
        <v>46309</v>
      </c>
      <c r="I6" s="12" t="s">
        <v>21</v>
      </c>
      <c r="J6" s="11"/>
      <c r="K6" s="11" t="str">
        <f aca="false">IF(AND($J6&lt;&gt;"",$I6="applied"),$J6+7,"")</f>
        <v/>
      </c>
      <c r="L6" s="12"/>
      <c r="M6" s="10" t="s">
        <v>29</v>
      </c>
      <c r="N6" s="9"/>
    </row>
    <row r="7" customFormat="false" ht="21.75" hidden="false" customHeight="true" outlineLevel="0" collapsed="false">
      <c r="B7" s="5" t="s">
        <v>30</v>
      </c>
      <c r="C7" s="6"/>
      <c r="D7" s="6" t="s">
        <v>31</v>
      </c>
      <c r="E7" s="5" t="s">
        <v>32</v>
      </c>
      <c r="F7" s="5" t="s">
        <v>27</v>
      </c>
      <c r="G7" s="5" t="s">
        <v>20</v>
      </c>
      <c r="H7" s="7" t="n">
        <v>46309</v>
      </c>
      <c r="I7" s="8" t="s">
        <v>21</v>
      </c>
      <c r="J7" s="7"/>
      <c r="K7" s="7" t="str">
        <f aca="false">IF(AND($J7&lt;&gt;"",$I7="applied"),$J7+7,"")</f>
        <v/>
      </c>
      <c r="L7" s="8"/>
      <c r="M7" s="6" t="s">
        <v>33</v>
      </c>
      <c r="N7" s="5"/>
    </row>
    <row r="8" customFormat="false" ht="21.75" hidden="false" customHeight="true" outlineLevel="0" collapsed="false">
      <c r="B8" s="9" t="s">
        <v>34</v>
      </c>
      <c r="C8" s="10" t="s">
        <v>35</v>
      </c>
      <c r="D8" s="10" t="s">
        <v>36</v>
      </c>
      <c r="E8" s="9" t="s">
        <v>37</v>
      </c>
      <c r="F8" s="9" t="s">
        <v>27</v>
      </c>
      <c r="G8" s="9" t="s">
        <v>20</v>
      </c>
      <c r="H8" s="11" t="n">
        <v>46309</v>
      </c>
      <c r="I8" s="12" t="s">
        <v>21</v>
      </c>
      <c r="J8" s="11"/>
      <c r="K8" s="11" t="str">
        <f aca="false">IF(AND($J8&lt;&gt;"",$I8="applied"),$J8+7,"")</f>
        <v/>
      </c>
      <c r="L8" s="12"/>
      <c r="M8" s="10" t="s">
        <v>38</v>
      </c>
      <c r="N8" s="9"/>
    </row>
    <row r="9" customFormat="false" ht="21.75" hidden="false" customHeight="true" outlineLevel="0" collapsed="false">
      <c r="B9" s="5" t="s">
        <v>39</v>
      </c>
      <c r="C9" s="6" t="s">
        <v>40</v>
      </c>
      <c r="D9" s="6" t="s">
        <v>41</v>
      </c>
      <c r="E9" s="5" t="s">
        <v>42</v>
      </c>
      <c r="F9" s="5" t="s">
        <v>19</v>
      </c>
      <c r="G9" s="5" t="s">
        <v>43</v>
      </c>
      <c r="H9" s="7" t="n">
        <v>46308</v>
      </c>
      <c r="I9" s="8" t="s">
        <v>21</v>
      </c>
      <c r="J9" s="7"/>
      <c r="K9" s="7" t="str">
        <f aca="false">IF(AND($J9&lt;&gt;"",$I9="applied"),$J9+7,"")</f>
        <v/>
      </c>
      <c r="L9" s="8"/>
      <c r="M9" s="6" t="s">
        <v>44</v>
      </c>
      <c r="N9" s="5"/>
    </row>
    <row r="10" customFormat="false" ht="21.75" hidden="false" customHeight="true" outlineLevel="0" collapsed="false">
      <c r="B10" s="9" t="s">
        <v>45</v>
      </c>
      <c r="C10" s="10" t="s">
        <v>46</v>
      </c>
      <c r="D10" s="10" t="s">
        <v>47</v>
      </c>
      <c r="E10" s="9" t="s">
        <v>48</v>
      </c>
      <c r="F10" s="9" t="s">
        <v>19</v>
      </c>
      <c r="G10" s="9" t="s">
        <v>49</v>
      </c>
      <c r="H10" s="11" t="n">
        <v>46308</v>
      </c>
      <c r="I10" s="12" t="s">
        <v>21</v>
      </c>
      <c r="J10" s="11"/>
      <c r="K10" s="11" t="str">
        <f aca="false">IF(AND($J10&lt;&gt;"",$I10="applied"),$J10+7,"")</f>
        <v/>
      </c>
      <c r="L10" s="12"/>
      <c r="M10" s="10" t="s">
        <v>50</v>
      </c>
      <c r="N10" s="9"/>
    </row>
    <row r="11" customFormat="false" ht="21.75" hidden="false" customHeight="true" outlineLevel="0" collapsed="false">
      <c r="B11" s="5" t="s">
        <v>51</v>
      </c>
      <c r="C11" s="6" t="s">
        <v>52</v>
      </c>
      <c r="D11" s="6" t="s">
        <v>53</v>
      </c>
      <c r="E11" s="5" t="s">
        <v>18</v>
      </c>
      <c r="F11" s="5" t="s">
        <v>19</v>
      </c>
      <c r="G11" s="5" t="s">
        <v>20</v>
      </c>
      <c r="H11" s="7" t="n">
        <v>46308</v>
      </c>
      <c r="I11" s="8" t="s">
        <v>21</v>
      </c>
      <c r="J11" s="7"/>
      <c r="K11" s="7" t="str">
        <f aca="false">IF(AND($J11&lt;&gt;"",$I11="applied"),$J11+7,"")</f>
        <v/>
      </c>
      <c r="L11" s="8"/>
      <c r="M11" s="6" t="s">
        <v>54</v>
      </c>
      <c r="N11" s="5"/>
    </row>
    <row r="12" customFormat="false" ht="21.75" hidden="false" customHeight="true" outlineLevel="0" collapsed="false">
      <c r="B12" s="9" t="s">
        <v>55</v>
      </c>
      <c r="C12" s="10" t="s">
        <v>56</v>
      </c>
      <c r="D12" s="10" t="s">
        <v>31</v>
      </c>
      <c r="E12" s="9" t="s">
        <v>57</v>
      </c>
      <c r="F12" s="9" t="s">
        <v>19</v>
      </c>
      <c r="G12" s="9" t="s">
        <v>58</v>
      </c>
      <c r="H12" s="11" t="n">
        <v>46307</v>
      </c>
      <c r="I12" s="12" t="s">
        <v>21</v>
      </c>
      <c r="J12" s="11"/>
      <c r="K12" s="11" t="str">
        <f aca="false">IF(AND($J12&lt;&gt;"",$I12="applied"),$J12+7,"")</f>
        <v/>
      </c>
      <c r="L12" s="12"/>
      <c r="M12" s="10" t="s">
        <v>59</v>
      </c>
      <c r="N12" s="9"/>
    </row>
    <row r="13" customFormat="false" ht="21.75" hidden="false" customHeight="true" outlineLevel="0" collapsed="false">
      <c r="B13" s="5" t="s">
        <v>60</v>
      </c>
      <c r="C13" s="6" t="s">
        <v>56</v>
      </c>
      <c r="D13" s="6" t="s">
        <v>61</v>
      </c>
      <c r="E13" s="5" t="s">
        <v>57</v>
      </c>
      <c r="F13" s="5" t="s">
        <v>19</v>
      </c>
      <c r="G13" s="5" t="s">
        <v>58</v>
      </c>
      <c r="H13" s="7" t="n">
        <v>46307</v>
      </c>
      <c r="I13" s="8" t="s">
        <v>21</v>
      </c>
      <c r="J13" s="7"/>
      <c r="K13" s="7" t="str">
        <f aca="false">IF(AND($J13&lt;&gt;"",$I13="applied"),$J13+7,"")</f>
        <v/>
      </c>
      <c r="L13" s="8"/>
      <c r="M13" s="6" t="s">
        <v>62</v>
      </c>
      <c r="N13" s="5"/>
    </row>
    <row r="14" customFormat="false" ht="21.75" hidden="false" customHeight="true" outlineLevel="0" collapsed="false">
      <c r="B14" s="9" t="s">
        <v>63</v>
      </c>
      <c r="C14" s="10" t="s">
        <v>64</v>
      </c>
      <c r="D14" s="10" t="s">
        <v>65</v>
      </c>
      <c r="E14" s="9" t="s">
        <v>66</v>
      </c>
      <c r="F14" s="9" t="s">
        <v>67</v>
      </c>
      <c r="G14" s="9" t="s">
        <v>68</v>
      </c>
      <c r="H14" s="11" t="n">
        <v>46307</v>
      </c>
      <c r="I14" s="12" t="s">
        <v>21</v>
      </c>
      <c r="J14" s="11"/>
      <c r="K14" s="11" t="str">
        <f aca="false">IF(AND($J14&lt;&gt;"",$I14="applied"),$J14+7,"")</f>
        <v/>
      </c>
      <c r="L14" s="12"/>
      <c r="M14" s="10" t="s">
        <v>69</v>
      </c>
      <c r="N14" s="9"/>
    </row>
    <row r="15" customFormat="false" ht="21.75" hidden="false" customHeight="true" outlineLevel="0" collapsed="false">
      <c r="B15" s="5" t="s">
        <v>70</v>
      </c>
      <c r="C15" s="6" t="s">
        <v>71</v>
      </c>
      <c r="D15" s="6" t="s">
        <v>65</v>
      </c>
      <c r="E15" s="5" t="s">
        <v>26</v>
      </c>
      <c r="F15" s="5" t="s">
        <v>72</v>
      </c>
      <c r="G15" s="5" t="s">
        <v>28</v>
      </c>
      <c r="H15" s="7" t="n">
        <v>46306</v>
      </c>
      <c r="I15" s="8" t="s">
        <v>21</v>
      </c>
      <c r="J15" s="7"/>
      <c r="K15" s="7" t="str">
        <f aca="false">IF(AND($J15&lt;&gt;"",$I15="applied"),$J15+7,"")</f>
        <v/>
      </c>
      <c r="L15" s="8"/>
      <c r="M15" s="6" t="s">
        <v>73</v>
      </c>
      <c r="N15" s="5"/>
    </row>
    <row r="16" customFormat="false" ht="21.75" hidden="false" customHeight="true" outlineLevel="0" collapsed="false">
      <c r="B16" s="9" t="s">
        <v>74</v>
      </c>
      <c r="C16" s="10" t="s">
        <v>75</v>
      </c>
      <c r="D16" s="10" t="s">
        <v>31</v>
      </c>
      <c r="E16" s="9" t="s">
        <v>26</v>
      </c>
      <c r="F16" s="9" t="s">
        <v>19</v>
      </c>
      <c r="G16" s="9" t="s">
        <v>28</v>
      </c>
      <c r="H16" s="11" t="n">
        <v>46304</v>
      </c>
      <c r="I16" s="12" t="s">
        <v>21</v>
      </c>
      <c r="J16" s="11"/>
      <c r="K16" s="11" t="str">
        <f aca="false">IF(AND($J16&lt;&gt;"",$I16="applied"),$J16+7,"")</f>
        <v/>
      </c>
      <c r="L16" s="12"/>
      <c r="M16" s="10" t="s">
        <v>76</v>
      </c>
      <c r="N16" s="9"/>
    </row>
    <row r="17" customFormat="false" ht="21.75" hidden="false" customHeight="true" outlineLevel="0" collapsed="false">
      <c r="B17" s="5" t="s">
        <v>77</v>
      </c>
      <c r="C17" s="6" t="s">
        <v>78</v>
      </c>
      <c r="D17" s="6" t="s">
        <v>79</v>
      </c>
      <c r="E17" s="5" t="s">
        <v>26</v>
      </c>
      <c r="F17" s="5" t="s">
        <v>19</v>
      </c>
      <c r="G17" s="5" t="s">
        <v>28</v>
      </c>
      <c r="H17" s="7" t="n">
        <v>46304</v>
      </c>
      <c r="I17" s="8" t="s">
        <v>21</v>
      </c>
      <c r="J17" s="7"/>
      <c r="K17" s="7" t="str">
        <f aca="false">IF(AND($J17&lt;&gt;"",$I17="applied"),$J17+7,"")</f>
        <v/>
      </c>
      <c r="L17" s="8"/>
      <c r="M17" s="6" t="s">
        <v>80</v>
      </c>
      <c r="N17" s="5"/>
    </row>
    <row r="18" customFormat="false" ht="21.75" hidden="false" customHeight="true" outlineLevel="0" collapsed="false">
      <c r="B18" s="9" t="s">
        <v>81</v>
      </c>
      <c r="C18" s="10" t="s">
        <v>82</v>
      </c>
      <c r="D18" s="10" t="s">
        <v>83</v>
      </c>
      <c r="E18" s="9" t="s">
        <v>18</v>
      </c>
      <c r="F18" s="9" t="s">
        <v>19</v>
      </c>
      <c r="G18" s="9" t="s">
        <v>20</v>
      </c>
      <c r="H18" s="11" t="n">
        <v>46304</v>
      </c>
      <c r="I18" s="12" t="s">
        <v>21</v>
      </c>
      <c r="J18" s="11"/>
      <c r="K18" s="11" t="str">
        <f aca="false">IF(AND($J18&lt;&gt;"",$I18="applied"),$J18+7,"")</f>
        <v/>
      </c>
      <c r="L18" s="12"/>
      <c r="M18" s="10" t="s">
        <v>84</v>
      </c>
      <c r="N18" s="9"/>
    </row>
    <row r="19" customFormat="false" ht="21.75" hidden="false" customHeight="true" outlineLevel="0" collapsed="false">
      <c r="B19" s="5" t="s">
        <v>85</v>
      </c>
      <c r="C19" s="6" t="s">
        <v>86</v>
      </c>
      <c r="D19" s="6" t="s">
        <v>87</v>
      </c>
      <c r="E19" s="5" t="s">
        <v>18</v>
      </c>
      <c r="F19" s="5" t="s">
        <v>19</v>
      </c>
      <c r="G19" s="5" t="s">
        <v>20</v>
      </c>
      <c r="H19" s="7" t="n">
        <v>46304</v>
      </c>
      <c r="I19" s="8" t="s">
        <v>21</v>
      </c>
      <c r="J19" s="7"/>
      <c r="K19" s="7" t="str">
        <f aca="false">IF(AND($J19&lt;&gt;"",$I19="applied"),$J19+7,"")</f>
        <v/>
      </c>
      <c r="L19" s="8"/>
      <c r="M19" s="6" t="s">
        <v>88</v>
      </c>
      <c r="N19" s="5"/>
    </row>
    <row r="20" customFormat="false" ht="21.75" hidden="false" customHeight="true" outlineLevel="0" collapsed="false">
      <c r="B20" s="9" t="s">
        <v>89</v>
      </c>
      <c r="C20" s="10" t="s">
        <v>86</v>
      </c>
      <c r="D20" s="10" t="s">
        <v>90</v>
      </c>
      <c r="E20" s="9" t="s">
        <v>66</v>
      </c>
      <c r="F20" s="9" t="s">
        <v>19</v>
      </c>
      <c r="G20" s="9" t="s">
        <v>68</v>
      </c>
      <c r="H20" s="11" t="n">
        <v>46304</v>
      </c>
      <c r="I20" s="12" t="s">
        <v>21</v>
      </c>
      <c r="J20" s="11"/>
      <c r="K20" s="11" t="str">
        <f aca="false">IF(AND($J20&lt;&gt;"",$I20="applied"),$J20+7,"")</f>
        <v/>
      </c>
      <c r="L20" s="12"/>
      <c r="M20" s="10" t="s">
        <v>91</v>
      </c>
      <c r="N20" s="9"/>
    </row>
    <row r="21" customFormat="false" ht="21.75" hidden="false" customHeight="true" outlineLevel="0" collapsed="false">
      <c r="B21" s="5" t="s">
        <v>92</v>
      </c>
      <c r="C21" s="6" t="s">
        <v>82</v>
      </c>
      <c r="D21" s="6" t="s">
        <v>93</v>
      </c>
      <c r="E21" s="5" t="s">
        <v>94</v>
      </c>
      <c r="F21" s="5" t="s">
        <v>19</v>
      </c>
      <c r="G21" s="5"/>
      <c r="H21" s="7" t="n">
        <v>46304</v>
      </c>
      <c r="I21" s="8" t="s">
        <v>21</v>
      </c>
      <c r="J21" s="7"/>
      <c r="K21" s="7" t="str">
        <f aca="false">IF(AND($J21&lt;&gt;"",$I21="applied"),$J21+7,"")</f>
        <v/>
      </c>
      <c r="L21" s="8"/>
      <c r="M21" s="6" t="s">
        <v>95</v>
      </c>
      <c r="N21" s="5"/>
    </row>
    <row r="22" customFormat="false" ht="21.75" hidden="false" customHeight="true" outlineLevel="0" collapsed="false">
      <c r="B22" s="9" t="s">
        <v>96</v>
      </c>
      <c r="C22" s="10" t="s">
        <v>86</v>
      </c>
      <c r="D22" s="10" t="s">
        <v>97</v>
      </c>
      <c r="E22" s="9" t="s">
        <v>18</v>
      </c>
      <c r="F22" s="9" t="s">
        <v>19</v>
      </c>
      <c r="G22" s="9" t="s">
        <v>20</v>
      </c>
      <c r="H22" s="11" t="n">
        <v>46304</v>
      </c>
      <c r="I22" s="12" t="s">
        <v>21</v>
      </c>
      <c r="J22" s="11"/>
      <c r="K22" s="11" t="str">
        <f aca="false">IF(AND($J22&lt;&gt;"",$I22="applied"),$J22+7,"")</f>
        <v/>
      </c>
      <c r="L22" s="12"/>
      <c r="M22" s="10" t="s">
        <v>98</v>
      </c>
      <c r="N22" s="9"/>
    </row>
    <row r="23" customFormat="false" ht="21.75" hidden="false" customHeight="true" outlineLevel="0" collapsed="false">
      <c r="B23" s="5" t="s">
        <v>99</v>
      </c>
      <c r="C23" s="6" t="s">
        <v>100</v>
      </c>
      <c r="D23" s="6" t="s">
        <v>61</v>
      </c>
      <c r="E23" s="5" t="s">
        <v>18</v>
      </c>
      <c r="F23" s="5" t="s">
        <v>19</v>
      </c>
      <c r="G23" s="5" t="s">
        <v>20</v>
      </c>
      <c r="H23" s="7" t="n">
        <v>46304</v>
      </c>
      <c r="I23" s="8" t="s">
        <v>21</v>
      </c>
      <c r="J23" s="7"/>
      <c r="K23" s="7" t="str">
        <f aca="false">IF(AND($J23&lt;&gt;"",$I23="applied"),$J23+7,"")</f>
        <v/>
      </c>
      <c r="L23" s="8"/>
      <c r="M23" s="6" t="s">
        <v>101</v>
      </c>
      <c r="N23" s="5"/>
    </row>
    <row r="24" customFormat="false" ht="21.75" hidden="false" customHeight="true" outlineLevel="0" collapsed="false">
      <c r="B24" s="9" t="s">
        <v>102</v>
      </c>
      <c r="C24" s="10" t="s">
        <v>103</v>
      </c>
      <c r="D24" s="10" t="s">
        <v>104</v>
      </c>
      <c r="E24" s="9" t="s">
        <v>18</v>
      </c>
      <c r="F24" s="9" t="s">
        <v>19</v>
      </c>
      <c r="G24" s="9" t="s">
        <v>20</v>
      </c>
      <c r="H24" s="11" t="n">
        <v>46303</v>
      </c>
      <c r="I24" s="12" t="s">
        <v>21</v>
      </c>
      <c r="J24" s="11"/>
      <c r="K24" s="11" t="str">
        <f aca="false">IF(AND($J24&lt;&gt;"",$I24="applied"),$J24+7,"")</f>
        <v/>
      </c>
      <c r="L24" s="12"/>
      <c r="M24" s="10" t="s">
        <v>105</v>
      </c>
      <c r="N24" s="9"/>
    </row>
    <row r="25" customFormat="false" ht="21.75" hidden="false" customHeight="true" outlineLevel="0" collapsed="false">
      <c r="B25" s="5" t="s">
        <v>106</v>
      </c>
      <c r="C25" s="6" t="s">
        <v>107</v>
      </c>
      <c r="D25" s="6" t="s">
        <v>108</v>
      </c>
      <c r="E25" s="5" t="s">
        <v>109</v>
      </c>
      <c r="F25" s="5" t="s">
        <v>19</v>
      </c>
      <c r="G25" s="5" t="s">
        <v>110</v>
      </c>
      <c r="H25" s="7" t="n">
        <v>46302</v>
      </c>
      <c r="I25" s="8" t="s">
        <v>21</v>
      </c>
      <c r="J25" s="7"/>
      <c r="K25" s="7" t="str">
        <f aca="false">IF(AND($J25&lt;&gt;"",$I25="applied"),$J25+7,"")</f>
        <v/>
      </c>
      <c r="L25" s="8"/>
      <c r="M25" s="6" t="s">
        <v>111</v>
      </c>
      <c r="N25" s="5"/>
    </row>
    <row r="26" customFormat="false" ht="21.75" hidden="false" customHeight="true" outlineLevel="0" collapsed="false">
      <c r="B26" s="9" t="s">
        <v>112</v>
      </c>
      <c r="C26" s="10" t="s">
        <v>103</v>
      </c>
      <c r="D26" s="10" t="s">
        <v>113</v>
      </c>
      <c r="E26" s="9" t="s">
        <v>18</v>
      </c>
      <c r="F26" s="9" t="s">
        <v>19</v>
      </c>
      <c r="G26" s="9" t="s">
        <v>20</v>
      </c>
      <c r="H26" s="11" t="n">
        <v>46301</v>
      </c>
      <c r="I26" s="12" t="s">
        <v>21</v>
      </c>
      <c r="J26" s="11"/>
      <c r="K26" s="11" t="str">
        <f aca="false">IF(AND($J26&lt;&gt;"",$I26="applied"),$J26+7,"")</f>
        <v/>
      </c>
      <c r="L26" s="12"/>
      <c r="M26" s="10" t="s">
        <v>114</v>
      </c>
      <c r="N26" s="9"/>
    </row>
    <row r="27" customFormat="false" ht="21.75" hidden="false" customHeight="true" outlineLevel="0" collapsed="false">
      <c r="B27" s="5" t="s">
        <v>115</v>
      </c>
      <c r="C27" s="6" t="s">
        <v>100</v>
      </c>
      <c r="D27" s="6" t="s">
        <v>116</v>
      </c>
      <c r="E27" s="5" t="s">
        <v>18</v>
      </c>
      <c r="F27" s="5" t="s">
        <v>19</v>
      </c>
      <c r="G27" s="5" t="s">
        <v>20</v>
      </c>
      <c r="H27" s="7" t="n">
        <v>46301</v>
      </c>
      <c r="I27" s="8" t="s">
        <v>21</v>
      </c>
      <c r="J27" s="7"/>
      <c r="K27" s="7" t="str">
        <f aca="false">IF(AND($J27&lt;&gt;"",$I27="applied"),$J27+7,"")</f>
        <v/>
      </c>
      <c r="L27" s="8"/>
      <c r="M27" s="6" t="s">
        <v>117</v>
      </c>
      <c r="N27" s="5"/>
    </row>
    <row r="28" customFormat="false" ht="21.75" hidden="false" customHeight="true" outlineLevel="0" collapsed="false">
      <c r="B28" s="9" t="s">
        <v>118</v>
      </c>
      <c r="C28" s="10" t="s">
        <v>40</v>
      </c>
      <c r="D28" s="10" t="s">
        <v>31</v>
      </c>
      <c r="E28" s="9" t="s">
        <v>119</v>
      </c>
      <c r="F28" s="9" t="s">
        <v>19</v>
      </c>
      <c r="G28" s="9" t="s">
        <v>110</v>
      </c>
      <c r="H28" s="11" t="n">
        <v>46299</v>
      </c>
      <c r="I28" s="12" t="s">
        <v>21</v>
      </c>
      <c r="J28" s="11"/>
      <c r="K28" s="11" t="str">
        <f aca="false">IF(AND($J28&lt;&gt;"",$I28="applied"),$J28+7,"")</f>
        <v/>
      </c>
      <c r="L28" s="12"/>
      <c r="M28" s="10" t="s">
        <v>120</v>
      </c>
      <c r="N28" s="9"/>
    </row>
    <row r="29" customFormat="false" ht="21.75" hidden="false" customHeight="true" outlineLevel="0" collapsed="false">
      <c r="B29" s="5" t="s">
        <v>121</v>
      </c>
      <c r="C29" s="6" t="s">
        <v>122</v>
      </c>
      <c r="D29" s="6" t="s">
        <v>123</v>
      </c>
      <c r="E29" s="5" t="s">
        <v>26</v>
      </c>
      <c r="F29" s="5" t="s">
        <v>124</v>
      </c>
      <c r="G29" s="5" t="s">
        <v>28</v>
      </c>
      <c r="H29" s="7" t="n">
        <v>46299</v>
      </c>
      <c r="I29" s="8" t="s">
        <v>21</v>
      </c>
      <c r="J29" s="7"/>
      <c r="K29" s="7" t="str">
        <f aca="false">IF(AND($J29&lt;&gt;"",$I29="applied"),$J29+7,"")</f>
        <v/>
      </c>
      <c r="L29" s="8"/>
      <c r="M29" s="6" t="s">
        <v>125</v>
      </c>
      <c r="N29" s="5"/>
    </row>
    <row r="30" customFormat="false" ht="21.75" hidden="false" customHeight="true" outlineLevel="0" collapsed="false">
      <c r="B30" s="9" t="s">
        <v>126</v>
      </c>
      <c r="C30" s="10" t="s">
        <v>127</v>
      </c>
      <c r="D30" s="10" t="s">
        <v>128</v>
      </c>
      <c r="E30" s="9" t="s">
        <v>26</v>
      </c>
      <c r="F30" s="9" t="s">
        <v>19</v>
      </c>
      <c r="G30" s="9" t="s">
        <v>28</v>
      </c>
      <c r="H30" s="11" t="n">
        <v>46297</v>
      </c>
      <c r="I30" s="12" t="s">
        <v>21</v>
      </c>
      <c r="J30" s="11"/>
      <c r="K30" s="11" t="str">
        <f aca="false">IF(AND($J30&lt;&gt;"",$I30="applied"),$J30+7,"")</f>
        <v/>
      </c>
      <c r="L30" s="12"/>
      <c r="M30" s="10" t="s">
        <v>129</v>
      </c>
      <c r="N30" s="9"/>
    </row>
    <row r="31" customFormat="false" ht="21.75" hidden="false" customHeight="true" outlineLevel="0" collapsed="false">
      <c r="B31" s="5" t="s">
        <v>130</v>
      </c>
      <c r="C31" s="6" t="s">
        <v>131</v>
      </c>
      <c r="D31" s="6" t="s">
        <v>132</v>
      </c>
      <c r="E31" s="5" t="s">
        <v>133</v>
      </c>
      <c r="F31" s="5" t="s">
        <v>134</v>
      </c>
      <c r="G31" s="5" t="s">
        <v>58</v>
      </c>
      <c r="H31" s="7" t="n">
        <v>46297</v>
      </c>
      <c r="I31" s="8" t="s">
        <v>21</v>
      </c>
      <c r="J31" s="7"/>
      <c r="K31" s="7" t="str">
        <f aca="false">IF(AND($J31&lt;&gt;"",$I31="applied"),$J31+7,"")</f>
        <v/>
      </c>
      <c r="L31" s="8"/>
      <c r="M31" s="6" t="s">
        <v>135</v>
      </c>
      <c r="N31" s="5"/>
    </row>
    <row r="32" customFormat="false" ht="21.75" hidden="false" customHeight="true" outlineLevel="0" collapsed="false">
      <c r="B32" s="9" t="s">
        <v>136</v>
      </c>
      <c r="C32" s="10" t="s">
        <v>137</v>
      </c>
      <c r="D32" s="10" t="s">
        <v>61</v>
      </c>
      <c r="E32" s="9" t="s">
        <v>32</v>
      </c>
      <c r="F32" s="9" t="s">
        <v>134</v>
      </c>
      <c r="G32" s="9" t="s">
        <v>20</v>
      </c>
      <c r="H32" s="11" t="n">
        <v>46297</v>
      </c>
      <c r="I32" s="12" t="s">
        <v>21</v>
      </c>
      <c r="J32" s="11"/>
      <c r="K32" s="11" t="str">
        <f aca="false">IF(AND($J32&lt;&gt;"",$I32="applied"),$J32+7,"")</f>
        <v/>
      </c>
      <c r="L32" s="12"/>
      <c r="M32" s="10" t="s">
        <v>138</v>
      </c>
      <c r="N32" s="9"/>
    </row>
    <row r="33" customFormat="false" ht="21.75" hidden="false" customHeight="true" outlineLevel="0" collapsed="false">
      <c r="B33" s="5" t="s">
        <v>139</v>
      </c>
      <c r="C33" s="6" t="s">
        <v>100</v>
      </c>
      <c r="D33" s="6" t="s">
        <v>140</v>
      </c>
      <c r="E33" s="5" t="s">
        <v>18</v>
      </c>
      <c r="F33" s="5" t="s">
        <v>19</v>
      </c>
      <c r="G33" s="5" t="s">
        <v>20</v>
      </c>
      <c r="H33" s="7" t="n">
        <v>46296</v>
      </c>
      <c r="I33" s="8" t="s">
        <v>21</v>
      </c>
      <c r="J33" s="7"/>
      <c r="K33" s="7" t="str">
        <f aca="false">IF(AND($J33&lt;&gt;"",$I33="applied"),$J33+7,"")</f>
        <v/>
      </c>
      <c r="L33" s="8"/>
      <c r="M33" s="6" t="s">
        <v>141</v>
      </c>
      <c r="N33" s="5"/>
    </row>
    <row r="34" customFormat="false" ht="21.75" hidden="false" customHeight="true" outlineLevel="0" collapsed="false">
      <c r="B34" s="9" t="s">
        <v>142</v>
      </c>
      <c r="C34" s="10" t="s">
        <v>100</v>
      </c>
      <c r="D34" s="10" t="s">
        <v>143</v>
      </c>
      <c r="E34" s="9" t="s">
        <v>18</v>
      </c>
      <c r="F34" s="9" t="s">
        <v>19</v>
      </c>
      <c r="G34" s="9" t="s">
        <v>20</v>
      </c>
      <c r="H34" s="11" t="n">
        <v>46296</v>
      </c>
      <c r="I34" s="12" t="s">
        <v>21</v>
      </c>
      <c r="J34" s="11"/>
      <c r="K34" s="11" t="str">
        <f aca="false">IF(AND($J34&lt;&gt;"",$I34="applied"),$J34+7,"")</f>
        <v/>
      </c>
      <c r="L34" s="12"/>
      <c r="M34" s="10" t="s">
        <v>144</v>
      </c>
      <c r="N34" s="9"/>
    </row>
    <row r="35" customFormat="false" ht="21.75" hidden="false" customHeight="true" outlineLevel="0" collapsed="false">
      <c r="B35" s="5" t="s">
        <v>145</v>
      </c>
      <c r="C35" s="6" t="s">
        <v>100</v>
      </c>
      <c r="D35" s="6" t="s">
        <v>146</v>
      </c>
      <c r="E35" s="5" t="s">
        <v>18</v>
      </c>
      <c r="F35" s="5" t="s">
        <v>19</v>
      </c>
      <c r="G35" s="5" t="s">
        <v>20</v>
      </c>
      <c r="H35" s="7" t="n">
        <v>46296</v>
      </c>
      <c r="I35" s="8" t="s">
        <v>21</v>
      </c>
      <c r="J35" s="7"/>
      <c r="K35" s="7" t="str">
        <f aca="false">IF(AND($J35&lt;&gt;"",$I35="applied"),$J35+7,"")</f>
        <v/>
      </c>
      <c r="L35" s="8"/>
      <c r="M35" s="6" t="s">
        <v>147</v>
      </c>
      <c r="N35" s="5"/>
    </row>
    <row r="36" customFormat="false" ht="21.75" hidden="false" customHeight="true" outlineLevel="0" collapsed="false">
      <c r="B36" s="9" t="s">
        <v>148</v>
      </c>
      <c r="C36" s="10" t="s">
        <v>127</v>
      </c>
      <c r="D36" s="10" t="s">
        <v>149</v>
      </c>
      <c r="E36" s="9" t="s">
        <v>94</v>
      </c>
      <c r="F36" s="9" t="s">
        <v>19</v>
      </c>
      <c r="G36" s="9"/>
      <c r="H36" s="11" t="n">
        <v>46295</v>
      </c>
      <c r="I36" s="12" t="s">
        <v>21</v>
      </c>
      <c r="J36" s="11"/>
      <c r="K36" s="11" t="str">
        <f aca="false">IF(AND($J36&lt;&gt;"",$I36="applied"),$J36+7,"")</f>
        <v/>
      </c>
      <c r="L36" s="12"/>
      <c r="M36" s="10" t="s">
        <v>150</v>
      </c>
      <c r="N36" s="9"/>
    </row>
    <row r="37" customFormat="false" ht="21.75" hidden="false" customHeight="true" outlineLevel="0" collapsed="false">
      <c r="B37" s="5" t="s">
        <v>151</v>
      </c>
      <c r="C37" s="6" t="s">
        <v>100</v>
      </c>
      <c r="D37" s="6" t="s">
        <v>152</v>
      </c>
      <c r="E37" s="5" t="s">
        <v>18</v>
      </c>
      <c r="F37" s="5" t="s">
        <v>19</v>
      </c>
      <c r="G37" s="5" t="s">
        <v>20</v>
      </c>
      <c r="H37" s="7" t="n">
        <v>46295</v>
      </c>
      <c r="I37" s="8" t="s">
        <v>21</v>
      </c>
      <c r="J37" s="7"/>
      <c r="K37" s="7" t="str">
        <f aca="false">IF(AND($J37&lt;&gt;"",$I37="applied"),$J37+7,"")</f>
        <v/>
      </c>
      <c r="L37" s="8"/>
      <c r="M37" s="6" t="s">
        <v>153</v>
      </c>
      <c r="N37" s="5"/>
    </row>
    <row r="38" customFormat="false" ht="21.75" hidden="false" customHeight="true" outlineLevel="0" collapsed="false">
      <c r="B38" s="9" t="s">
        <v>154</v>
      </c>
      <c r="C38" s="10" t="s">
        <v>155</v>
      </c>
      <c r="D38" s="10" t="s">
        <v>156</v>
      </c>
      <c r="E38" s="9" t="s">
        <v>26</v>
      </c>
      <c r="F38" s="9" t="s">
        <v>157</v>
      </c>
      <c r="G38" s="9" t="s">
        <v>28</v>
      </c>
      <c r="H38" s="11"/>
      <c r="I38" s="12" t="s">
        <v>21</v>
      </c>
      <c r="J38" s="11"/>
      <c r="K38" s="11" t="str">
        <f aca="false">IF(AND($J38&lt;&gt;"",$I38="applied"),$J38+7,"")</f>
        <v/>
      </c>
      <c r="L38" s="12"/>
      <c r="M38" s="10" t="s">
        <v>158</v>
      </c>
      <c r="N38" s="9"/>
    </row>
    <row r="39" customFormat="false" ht="21.75" hidden="false" customHeight="true" outlineLevel="0" collapsed="false">
      <c r="B39" s="5" t="s">
        <v>159</v>
      </c>
      <c r="C39" s="6" t="s">
        <v>160</v>
      </c>
      <c r="D39" s="6" t="s">
        <v>161</v>
      </c>
      <c r="E39" s="5"/>
      <c r="F39" s="5" t="s">
        <v>162</v>
      </c>
      <c r="G39" s="5"/>
      <c r="H39" s="7"/>
      <c r="I39" s="8" t="s">
        <v>21</v>
      </c>
      <c r="J39" s="7"/>
      <c r="K39" s="7" t="str">
        <f aca="false">IF(AND($J39&lt;&gt;"",$I39="applied"),$J39+7,"")</f>
        <v/>
      </c>
      <c r="L39" s="8"/>
      <c r="M39" s="6" t="s">
        <v>163</v>
      </c>
      <c r="N39" s="5"/>
    </row>
    <row r="40" customFormat="false" ht="21.75" hidden="false" customHeight="true" outlineLevel="0" collapsed="false">
      <c r="B40" s="9" t="s">
        <v>164</v>
      </c>
      <c r="C40" s="10" t="s">
        <v>165</v>
      </c>
      <c r="D40" s="10" t="s">
        <v>61</v>
      </c>
      <c r="E40" s="9"/>
      <c r="F40" s="9" t="s">
        <v>162</v>
      </c>
      <c r="G40" s="9"/>
      <c r="H40" s="11"/>
      <c r="I40" s="12" t="s">
        <v>21</v>
      </c>
      <c r="J40" s="11"/>
      <c r="K40" s="11" t="str">
        <f aca="false">IF(AND($J40&lt;&gt;"",$I40="applied"),$J40+7,"")</f>
        <v/>
      </c>
      <c r="L40" s="12"/>
      <c r="M40" s="10" t="s">
        <v>166</v>
      </c>
      <c r="N40" s="9"/>
    </row>
    <row r="41" customFormat="false" ht="21.75" hidden="false" customHeight="true" outlineLevel="0" collapsed="false">
      <c r="B41" s="5" t="s">
        <v>167</v>
      </c>
      <c r="C41" s="6" t="s">
        <v>168</v>
      </c>
      <c r="D41" s="6" t="s">
        <v>169</v>
      </c>
      <c r="E41" s="5"/>
      <c r="F41" s="5" t="s">
        <v>162</v>
      </c>
      <c r="G41" s="5"/>
      <c r="H41" s="7"/>
      <c r="I41" s="8" t="s">
        <v>21</v>
      </c>
      <c r="J41" s="7"/>
      <c r="K41" s="7" t="str">
        <f aca="false">IF(AND($J41&lt;&gt;"",$I41="applied"),$J41+7,"")</f>
        <v/>
      </c>
      <c r="L41" s="8"/>
      <c r="M41" s="6" t="s">
        <v>170</v>
      </c>
      <c r="N41" s="5"/>
    </row>
    <row r="42" customFormat="false" ht="21.75" hidden="false" customHeight="true" outlineLevel="0" collapsed="false">
      <c r="B42" s="9" t="s">
        <v>171</v>
      </c>
      <c r="C42" s="10" t="s">
        <v>172</v>
      </c>
      <c r="D42" s="10" t="s">
        <v>65</v>
      </c>
      <c r="E42" s="9"/>
      <c r="F42" s="9" t="s">
        <v>162</v>
      </c>
      <c r="G42" s="9"/>
      <c r="H42" s="11"/>
      <c r="I42" s="12" t="s">
        <v>21</v>
      </c>
      <c r="J42" s="11"/>
      <c r="K42" s="11" t="str">
        <f aca="false">IF(AND($J42&lt;&gt;"",$I42="applied"),$J42+7,"")</f>
        <v/>
      </c>
      <c r="L42" s="12"/>
      <c r="M42" s="10" t="s">
        <v>173</v>
      </c>
      <c r="N42" s="9"/>
    </row>
    <row r="43" customFormat="false" ht="21.75" hidden="false" customHeight="true" outlineLevel="0" collapsed="false">
      <c r="B43" s="5" t="s">
        <v>174</v>
      </c>
      <c r="C43" s="6" t="s">
        <v>168</v>
      </c>
      <c r="D43" s="6" t="s">
        <v>175</v>
      </c>
      <c r="E43" s="5"/>
      <c r="F43" s="5" t="s">
        <v>162</v>
      </c>
      <c r="G43" s="5"/>
      <c r="H43" s="7"/>
      <c r="I43" s="8" t="s">
        <v>21</v>
      </c>
      <c r="J43" s="7"/>
      <c r="K43" s="7" t="str">
        <f aca="false">IF(AND($J43&lt;&gt;"",$I43="applied"),$J43+7,"")</f>
        <v/>
      </c>
      <c r="L43" s="8"/>
      <c r="M43" s="6" t="s">
        <v>176</v>
      </c>
      <c r="N43" s="5"/>
    </row>
    <row r="44" customFormat="false" ht="21.75" hidden="false" customHeight="true" outlineLevel="0" collapsed="false">
      <c r="B44" s="9" t="s">
        <v>177</v>
      </c>
      <c r="C44" s="10" t="s">
        <v>178</v>
      </c>
      <c r="D44" s="10" t="s">
        <v>65</v>
      </c>
      <c r="E44" s="9" t="s">
        <v>179</v>
      </c>
      <c r="F44" s="9" t="s">
        <v>157</v>
      </c>
      <c r="G44" s="9" t="s">
        <v>58</v>
      </c>
      <c r="H44" s="11"/>
      <c r="I44" s="12" t="s">
        <v>21</v>
      </c>
      <c r="J44" s="11"/>
      <c r="K44" s="11" t="str">
        <f aca="false">IF(AND($J44&lt;&gt;"",$I44="applied"),$J44+7,"")</f>
        <v/>
      </c>
      <c r="L44" s="12"/>
      <c r="M44" s="10" t="s">
        <v>180</v>
      </c>
      <c r="N44" s="9"/>
    </row>
    <row r="45" customFormat="false" ht="21.75" hidden="false" customHeight="true" outlineLevel="0" collapsed="false">
      <c r="B45" s="5" t="s">
        <v>181</v>
      </c>
      <c r="C45" s="6" t="s">
        <v>182</v>
      </c>
      <c r="D45" s="6" t="s">
        <v>183</v>
      </c>
      <c r="E45" s="5" t="s">
        <v>184</v>
      </c>
      <c r="F45" s="5" t="s">
        <v>157</v>
      </c>
      <c r="G45" s="5" t="s">
        <v>28</v>
      </c>
      <c r="H45" s="7"/>
      <c r="I45" s="8" t="s">
        <v>21</v>
      </c>
      <c r="J45" s="7"/>
      <c r="K45" s="7" t="str">
        <f aca="false">IF(AND($J45&lt;&gt;"",$I45="applied"),$J45+7,"")</f>
        <v/>
      </c>
      <c r="L45" s="8"/>
      <c r="M45" s="6" t="s">
        <v>185</v>
      </c>
      <c r="N45" s="5"/>
    </row>
    <row r="46" customFormat="false" ht="21.75" hidden="false" customHeight="true" outlineLevel="0" collapsed="false">
      <c r="B46" s="9" t="s">
        <v>186</v>
      </c>
      <c r="C46" s="10" t="s">
        <v>187</v>
      </c>
      <c r="D46" s="10" t="s">
        <v>161</v>
      </c>
      <c r="E46" s="9" t="s">
        <v>188</v>
      </c>
      <c r="F46" s="9" t="s">
        <v>157</v>
      </c>
      <c r="G46" s="9" t="s">
        <v>58</v>
      </c>
      <c r="H46" s="11"/>
      <c r="I46" s="12" t="s">
        <v>21</v>
      </c>
      <c r="J46" s="11"/>
      <c r="K46" s="11" t="str">
        <f aca="false">IF(AND($J46&lt;&gt;"",$I46="applied"),$J46+7,"")</f>
        <v/>
      </c>
      <c r="L46" s="12"/>
      <c r="M46" s="10" t="s">
        <v>189</v>
      </c>
      <c r="N46" s="9"/>
    </row>
    <row r="47" customFormat="false" ht="21.75" hidden="false" customHeight="true" outlineLevel="0" collapsed="false">
      <c r="B47" s="5" t="s">
        <v>190</v>
      </c>
      <c r="C47" s="6" t="s">
        <v>191</v>
      </c>
      <c r="D47" s="6" t="s">
        <v>192</v>
      </c>
      <c r="E47" s="5" t="s">
        <v>184</v>
      </c>
      <c r="F47" s="5" t="s">
        <v>157</v>
      </c>
      <c r="G47" s="5" t="s">
        <v>28</v>
      </c>
      <c r="H47" s="7"/>
      <c r="I47" s="8" t="s">
        <v>21</v>
      </c>
      <c r="J47" s="7"/>
      <c r="K47" s="7" t="str">
        <f aca="false">IF(AND($J47&lt;&gt;"",$I47="applied"),$J47+7,"")</f>
        <v/>
      </c>
      <c r="L47" s="8"/>
      <c r="M47" s="6" t="s">
        <v>193</v>
      </c>
      <c r="N47" s="5"/>
    </row>
    <row r="48" customFormat="false" ht="21.75" hidden="false" customHeight="true" outlineLevel="0" collapsed="false">
      <c r="B48" s="9" t="s">
        <v>194</v>
      </c>
      <c r="C48" s="10" t="s">
        <v>195</v>
      </c>
      <c r="D48" s="10" t="s">
        <v>196</v>
      </c>
      <c r="E48" s="9" t="s">
        <v>179</v>
      </c>
      <c r="F48" s="9" t="s">
        <v>157</v>
      </c>
      <c r="G48" s="9" t="s">
        <v>58</v>
      </c>
      <c r="H48" s="11"/>
      <c r="I48" s="12" t="s">
        <v>21</v>
      </c>
      <c r="J48" s="11"/>
      <c r="K48" s="11" t="str">
        <f aca="false">IF(AND($J48&lt;&gt;"",$I48="applied"),$J48+7,"")</f>
        <v/>
      </c>
      <c r="L48" s="12"/>
      <c r="M48" s="10" t="s">
        <v>197</v>
      </c>
      <c r="N48" s="9"/>
    </row>
    <row r="49" customFormat="false" ht="21.75" hidden="false" customHeight="true" outlineLevel="0" collapsed="false">
      <c r="B49" s="5" t="s">
        <v>198</v>
      </c>
      <c r="C49" s="6" t="s">
        <v>199</v>
      </c>
      <c r="D49" s="6" t="s">
        <v>79</v>
      </c>
      <c r="E49" s="5" t="s">
        <v>184</v>
      </c>
      <c r="F49" s="5" t="s">
        <v>157</v>
      </c>
      <c r="G49" s="5" t="s">
        <v>28</v>
      </c>
      <c r="H49" s="7"/>
      <c r="I49" s="8" t="s">
        <v>21</v>
      </c>
      <c r="J49" s="7"/>
      <c r="K49" s="7" t="str">
        <f aca="false">IF(AND($J49&lt;&gt;"",$I49="applied"),$J49+7,"")</f>
        <v/>
      </c>
      <c r="L49" s="8"/>
      <c r="M49" s="6" t="s">
        <v>200</v>
      </c>
      <c r="N49" s="5"/>
    </row>
    <row r="50" customFormat="false" ht="21.75" hidden="false" customHeight="true" outlineLevel="0" collapsed="false">
      <c r="B50" s="9" t="s">
        <v>201</v>
      </c>
      <c r="C50" s="10" t="s">
        <v>202</v>
      </c>
      <c r="D50" s="10" t="s">
        <v>65</v>
      </c>
      <c r="E50" s="9" t="s">
        <v>184</v>
      </c>
      <c r="F50" s="9" t="s">
        <v>157</v>
      </c>
      <c r="G50" s="9" t="s">
        <v>28</v>
      </c>
      <c r="H50" s="11"/>
      <c r="I50" s="12" t="s">
        <v>21</v>
      </c>
      <c r="J50" s="11"/>
      <c r="K50" s="11" t="str">
        <f aca="false">IF(AND($J50&lt;&gt;"",$I50="applied"),$J50+7,"")</f>
        <v/>
      </c>
      <c r="L50" s="12"/>
      <c r="M50" s="10" t="s">
        <v>203</v>
      </c>
      <c r="N50" s="9"/>
    </row>
  </sheetData>
  <autoFilter ref="B4:N50"/>
  <mergeCells count="2">
    <mergeCell ref="B2:N2"/>
    <mergeCell ref="B3:N3"/>
  </mergeCells>
  <conditionalFormatting sqref="I5:I50">
    <cfRule type="expression" priority="2" aboveAverage="0" equalAverage="0" bottom="0" percent="0" rank="0" text="" dxfId="4">
      <formula>$I5="applied"</formula>
    </cfRule>
    <cfRule type="expression" priority="3" aboveAverage="0" equalAverage="0" bottom="0" percent="0" rank="0" text="" dxfId="5">
      <formula>OR($I5="interviewing",$I5="offer")</formula>
    </cfRule>
  </conditionalFormatting>
  <conditionalFormatting sqref="K5:K50">
    <cfRule type="expression" priority="4" aboveAverage="0" equalAverage="0" bottom="0" percent="0" rank="0" text="" dxfId="6">
      <formula>AND($I5="applied",$K5&lt;&gt;"",$K5&lt;TODAY())</formula>
    </cfRule>
  </conditionalFormatting>
  <dataValidations count="2">
    <dataValidation allowBlank="true" error="Pick a status from the list" errorStyle="stop" operator="between" showDropDown="false" showErrorMessage="false" showInputMessage="false" sqref="I5:I200" type="list">
      <formula1>"discovered,shortlisted,applied,interviewing,offer,closed,rejected"</formula1>
      <formula2>0</formula2>
    </dataValidation>
    <dataValidation allowBlank="true" error="fit is 1 (low) .. 5 (top pick)" errorStyle="stop" operator="between" showDropDown="false" showErrorMessage="false" showInputMessage="false" sqref="L5:L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5" min="5" style="1" width="46"/>
  </cols>
  <sheetData>
    <row r="2" customFormat="false" ht="31.5" hidden="false" customHeight="true" outlineLevel="0" collapsed="false">
      <c r="B2" s="2" t="s">
        <v>204</v>
      </c>
      <c r="C2" s="2"/>
      <c r="D2" s="2"/>
      <c r="E2" s="2"/>
    </row>
    <row r="3" customFormat="false" ht="7.5" hidden="false" customHeight="true" outlineLevel="0" collapsed="false">
      <c r="B3" s="3" t="s">
        <v>205</v>
      </c>
      <c r="C3" s="3"/>
      <c r="D3" s="3"/>
      <c r="E3" s="3"/>
    </row>
    <row r="4" customFormat="false" ht="27.75" hidden="false" customHeight="true" outlineLevel="0" collapsed="false">
      <c r="B4" s="4" t="s">
        <v>206</v>
      </c>
      <c r="C4" s="4" t="s">
        <v>207</v>
      </c>
      <c r="D4" s="4"/>
      <c r="E4" s="4" t="s">
        <v>208</v>
      </c>
    </row>
    <row r="5" customFormat="false" ht="21.75" hidden="false" customHeight="true" outlineLevel="0" collapsed="false">
      <c r="B5" s="13" t="s">
        <v>209</v>
      </c>
      <c r="C5" s="14" t="n">
        <f aca="false">COUNTA(Tracker!$B$5:$B$50)</f>
        <v>46</v>
      </c>
      <c r="D5" s="15"/>
      <c r="E5" s="16" t="s">
        <v>210</v>
      </c>
    </row>
    <row r="6" customFormat="false" ht="21.75" hidden="false" customHeight="true" outlineLevel="0" collapsed="false">
      <c r="B6" s="17" t="s">
        <v>211</v>
      </c>
      <c r="C6" s="18" t="n">
        <f aca="false">COUNTIF(Tracker!$I$5:$I$50,"discovered")</f>
        <v>46</v>
      </c>
      <c r="D6" s="19"/>
      <c r="E6" s="20" t="s">
        <v>212</v>
      </c>
    </row>
    <row r="7" customFormat="false" ht="21.75" hidden="false" customHeight="true" outlineLevel="0" collapsed="false">
      <c r="B7" s="13" t="s">
        <v>213</v>
      </c>
      <c r="C7" s="14" t="n">
        <f aca="false">COUNTIF(Tracker!$I$5:$I$50,"shortlisted")</f>
        <v>0</v>
      </c>
      <c r="D7" s="15"/>
      <c r="E7" s="16" t="s">
        <v>214</v>
      </c>
    </row>
    <row r="8" customFormat="false" ht="21.75" hidden="false" customHeight="true" outlineLevel="0" collapsed="false">
      <c r="B8" s="17" t="s">
        <v>215</v>
      </c>
      <c r="C8" s="18" t="n">
        <f aca="false">COUNTIF(Tracker!$I$5:$I$50,"applied")</f>
        <v>0</v>
      </c>
      <c r="D8" s="19"/>
      <c r="E8" s="20"/>
    </row>
    <row r="9" customFormat="false" ht="21.75" hidden="false" customHeight="true" outlineLevel="0" collapsed="false">
      <c r="B9" s="13" t="s">
        <v>216</v>
      </c>
      <c r="C9" s="14" t="n">
        <f aca="false">COUNTIF(Tracker!$I$5:$I$50,"interviewing")</f>
        <v>0</v>
      </c>
      <c r="D9" s="15"/>
      <c r="E9" s="16"/>
    </row>
    <row r="10" customFormat="false" ht="21.75" hidden="false" customHeight="true" outlineLevel="0" collapsed="false">
      <c r="B10" s="17" t="s">
        <v>217</v>
      </c>
      <c r="C10" s="18" t="n">
        <f aca="false">COUNTIF(Tracker!$I$5:$I$50,"offer")</f>
        <v>0</v>
      </c>
      <c r="D10" s="19"/>
      <c r="E10" s="20"/>
    </row>
    <row r="11" customFormat="false" ht="21.75" hidden="false" customHeight="true" outlineLevel="0" collapsed="false">
      <c r="B11" s="13" t="s">
        <v>218</v>
      </c>
      <c r="C11" s="14" t="n">
        <f aca="false">COUNTIF(Tracker!$I$5:$I$50,"closed")+COUNTIF(Tracker!$I$5:$I$50,"rejected")</f>
        <v>0</v>
      </c>
      <c r="D11" s="15"/>
      <c r="E11" s="16" t="s">
        <v>219</v>
      </c>
    </row>
    <row r="12" customFormat="false" ht="21.75" hidden="false" customHeight="true" outlineLevel="0" collapsed="false">
      <c r="B12" s="17" t="s">
        <v>220</v>
      </c>
      <c r="C12" s="18" t="n">
        <f aca="true">SUMPRODUCT((Tracker!$I$5:$I$50="applied")*(Tracker!$K$5:$K$50&lt;&gt;"")*(Tracker!$K$5:$K$50&lt;TODAY()))</f>
        <v>0</v>
      </c>
      <c r="D12" s="19"/>
      <c r="E12" s="20" t="s">
        <v>221</v>
      </c>
    </row>
    <row r="13" customFormat="false" ht="21.75" hidden="false" customHeight="true" outlineLevel="0" collapsed="false">
      <c r="B13" s="13" t="s">
        <v>222</v>
      </c>
      <c r="C13" s="21" t="n">
        <f aca="false">IFERROR((COUNTIF(Tracker!$I$5:$I$50,"interviewing")+COUNTIF(Tracker!$I$5:$I$50,"offer"))/COUNTIF(Tracker!$I$5:$I$50,"applied"),0)</f>
        <v>0</v>
      </c>
      <c r="D13" s="15"/>
      <c r="E13" s="16" t="s">
        <v>223</v>
      </c>
    </row>
    <row r="14" customFormat="false" ht="21.75" hidden="false" customHeight="true" outlineLevel="0" collapsed="false">
      <c r="B14" s="17" t="s">
        <v>224</v>
      </c>
      <c r="C14" s="22" t="n">
        <f aca="false">IFERROR(COUNTIF(Tracker!$I$5:$I$50,"offer")/(COUNTIF(Tracker!$I$5:$I$50,"interviewing")+COUNTIF(Tracker!$I$5:$I$50,"offer")),0)</f>
        <v>0</v>
      </c>
      <c r="D14" s="19"/>
      <c r="E14" s="20" t="s">
        <v>225</v>
      </c>
    </row>
    <row r="16" customFormat="false" ht="15" hidden="false" customHeight="false" outlineLevel="0" collapsed="false">
      <c r="B16" s="23" t="s">
        <v>6</v>
      </c>
      <c r="C16" s="24" t="s">
        <v>226</v>
      </c>
      <c r="D16" s="24" t="s">
        <v>227</v>
      </c>
      <c r="E16" s="24" t="s">
        <v>213</v>
      </c>
    </row>
    <row r="17" customFormat="false" ht="19.5" hidden="false" customHeight="true" outlineLevel="0" collapsed="false">
      <c r="B17" s="5" t="s">
        <v>19</v>
      </c>
      <c r="C17" s="25" t="n">
        <f aca="false">COUNTIF(Tracker!$F$5:$F$50,"BA")</f>
        <v>25</v>
      </c>
      <c r="D17" s="25" t="n">
        <f aca="false">SUMPRODUCT((Tracker!$F$5:$F$50="BA")*(Tracker!$I$5:$I$50&lt;&gt;"discovered")*(Tracker!$I$5:$I$50&lt;&gt;"closed")*(Tracker!$I$5:$I$50&lt;&gt;"rejected"))</f>
        <v>0</v>
      </c>
      <c r="E17" s="25" t="n">
        <f aca="false">SUMPRODUCT((Tracker!$F$5:$F$50="BA")*(Tracker!$I$5:$I$50="shortlisted"))</f>
        <v>0</v>
      </c>
    </row>
    <row r="18" customFormat="false" ht="19.5" hidden="false" customHeight="true" outlineLevel="0" collapsed="false">
      <c r="B18" s="9" t="s">
        <v>124</v>
      </c>
      <c r="C18" s="26" t="n">
        <f aca="false">COUNTIF(Tracker!$F$5:$F$50,"BA+XING")</f>
        <v>1</v>
      </c>
      <c r="D18" s="26" t="n">
        <f aca="false">SUMPRODUCT((Tracker!$F$5:$F$50="BA+XING")*(Tracker!$I$5:$I$50&lt;&gt;"discovered")*(Tracker!$I$5:$I$50&lt;&gt;"closed")*(Tracker!$I$5:$I$50&lt;&gt;"rejected"))</f>
        <v>0</v>
      </c>
      <c r="E18" s="26" t="n">
        <f aca="false">SUMPRODUCT((Tracker!$F$5:$F$50="BA+XING")*(Tracker!$I$5:$I$50="shortlisted"))</f>
        <v>0</v>
      </c>
    </row>
    <row r="19" customFormat="false" ht="19.5" hidden="false" customHeight="true" outlineLevel="0" collapsed="false">
      <c r="B19" s="5" t="s">
        <v>162</v>
      </c>
      <c r="C19" s="25" t="n">
        <f aca="false">COUNTIF(Tracker!$F$5:$F$50,"Get-in-IT")</f>
        <v>5</v>
      </c>
      <c r="D19" s="25" t="n">
        <f aca="false">SUMPRODUCT((Tracker!$F$5:$F$50="Get-in-IT")*(Tracker!$I$5:$I$50&lt;&gt;"discovered")*(Tracker!$I$5:$I$50&lt;&gt;"closed")*(Tracker!$I$5:$I$50&lt;&gt;"rejected"))</f>
        <v>0</v>
      </c>
      <c r="E19" s="25" t="n">
        <f aca="false">SUMPRODUCT((Tracker!$F$5:$F$50="Get-in-IT")*(Tracker!$I$5:$I$50="shortlisted"))</f>
        <v>0</v>
      </c>
    </row>
    <row r="20" customFormat="false" ht="19.5" hidden="false" customHeight="true" outlineLevel="0" collapsed="false">
      <c r="B20" s="9" t="s">
        <v>67</v>
      </c>
      <c r="C20" s="26" t="n">
        <f aca="false">COUNTIF(Tracker!$F$5:$F$50,"InFranken")</f>
        <v>1</v>
      </c>
      <c r="D20" s="26" t="n">
        <f aca="false">SUMPRODUCT((Tracker!$F$5:$F$50="InFranken")*(Tracker!$I$5:$I$50&lt;&gt;"discovered")*(Tracker!$I$5:$I$50&lt;&gt;"closed")*(Tracker!$I$5:$I$50&lt;&gt;"rejected"))</f>
        <v>0</v>
      </c>
      <c r="E20" s="26" t="n">
        <f aca="false">SUMPRODUCT((Tracker!$F$5:$F$50="InFranken")*(Tracker!$I$5:$I$50="shortlisted"))</f>
        <v>0</v>
      </c>
    </row>
    <row r="21" customFormat="false" ht="19.5" hidden="false" customHeight="true" outlineLevel="0" collapsed="false">
      <c r="B21" s="5" t="s">
        <v>134</v>
      </c>
      <c r="C21" s="25" t="n">
        <f aca="false">COUNTIF(Tracker!$F$5:$F$50,"Indeed")</f>
        <v>2</v>
      </c>
      <c r="D21" s="25" t="n">
        <f aca="false">SUMPRODUCT((Tracker!$F$5:$F$50="Indeed")*(Tracker!$I$5:$I$50&lt;&gt;"discovered")*(Tracker!$I$5:$I$50&lt;&gt;"closed")*(Tracker!$I$5:$I$50&lt;&gt;"rejected"))</f>
        <v>0</v>
      </c>
      <c r="E21" s="25" t="n">
        <f aca="false">SUMPRODUCT((Tracker!$F$5:$F$50="Indeed")*(Tracker!$I$5:$I$50="shortlisted"))</f>
        <v>0</v>
      </c>
    </row>
    <row r="22" customFormat="false" ht="19.5" hidden="false" customHeight="true" outlineLevel="0" collapsed="false">
      <c r="B22" s="9" t="s">
        <v>27</v>
      </c>
      <c r="C22" s="26" t="n">
        <f aca="false">COUNTIF(Tracker!$F$5:$F$50,"Kimeta")</f>
        <v>3</v>
      </c>
      <c r="D22" s="26" t="n">
        <f aca="false">SUMPRODUCT((Tracker!$F$5:$F$50="Kimeta")*(Tracker!$I$5:$I$50&lt;&gt;"discovered")*(Tracker!$I$5:$I$50&lt;&gt;"closed")*(Tracker!$I$5:$I$50&lt;&gt;"rejected"))</f>
        <v>0</v>
      </c>
      <c r="E22" s="26" t="n">
        <f aca="false">SUMPRODUCT((Tracker!$F$5:$F$50="Kimeta")*(Tracker!$I$5:$I$50="shortlisted"))</f>
        <v>0</v>
      </c>
    </row>
    <row r="23" customFormat="false" ht="19.5" hidden="false" customHeight="true" outlineLevel="0" collapsed="false">
      <c r="B23" s="5" t="s">
        <v>157</v>
      </c>
      <c r="C23" s="25" t="n">
        <f aca="false">COUNTIF(Tracker!$F$5:$F$50,"Talent.com")</f>
        <v>8</v>
      </c>
      <c r="D23" s="25" t="n">
        <f aca="false">SUMPRODUCT((Tracker!$F$5:$F$50="Talent.com")*(Tracker!$I$5:$I$50&lt;&gt;"discovered")*(Tracker!$I$5:$I$50&lt;&gt;"closed")*(Tracker!$I$5:$I$50&lt;&gt;"rejected"))</f>
        <v>0</v>
      </c>
      <c r="E23" s="25" t="n">
        <f aca="false">SUMPRODUCT((Tracker!$F$5:$F$50="Talent.com")*(Tracker!$I$5:$I$50="shortlisted"))</f>
        <v>0</v>
      </c>
    </row>
    <row r="24" customFormat="false" ht="19.5" hidden="false" customHeight="true" outlineLevel="0" collapsed="false">
      <c r="B24" s="9" t="s">
        <v>72</v>
      </c>
      <c r="C24" s="26" t="n">
        <f aca="false">COUNTIF(Tracker!$F$5:$F$50,"Talent.com+XING")</f>
        <v>1</v>
      </c>
      <c r="D24" s="26" t="n">
        <f aca="false">SUMPRODUCT((Tracker!$F$5:$F$50="Talent.com+XING")*(Tracker!$I$5:$I$50&lt;&gt;"discovered")*(Tracker!$I$5:$I$50&lt;&gt;"closed")*(Tracker!$I$5:$I$50&lt;&gt;"rejected"))</f>
        <v>0</v>
      </c>
      <c r="E24" s="26" t="n">
        <f aca="false">SUMPRODUCT((Tracker!$F$5:$F$50="Talent.com+XING")*(Tracker!$I$5:$I$50="shortlisted"))</f>
        <v>0</v>
      </c>
    </row>
    <row r="26" customFormat="false" ht="15" hidden="false" customHeight="false" outlineLevel="0" collapsed="false">
      <c r="B26" s="27" t="s">
        <v>228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8" min="3" style="1" width="14"/>
  </cols>
  <sheetData>
    <row r="2" customFormat="false" ht="31.5" hidden="false" customHeight="true" outlineLevel="0" collapsed="false">
      <c r="B2" s="2" t="s">
        <v>229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B3" s="3" t="s">
        <v>230</v>
      </c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B4" s="28" t="s">
        <v>231</v>
      </c>
    </row>
    <row r="5" customFormat="false" ht="19.5" hidden="false" customHeight="true" outlineLevel="0" collapsed="false">
      <c r="B5" s="29" t="s">
        <v>232</v>
      </c>
      <c r="C5" s="29"/>
      <c r="D5" s="29"/>
      <c r="E5" s="29"/>
      <c r="F5" s="29"/>
      <c r="G5" s="29"/>
      <c r="H5" s="29"/>
    </row>
    <row r="6" customFormat="false" ht="19.5" hidden="false" customHeight="true" outlineLevel="0" collapsed="false">
      <c r="B6" s="29" t="s">
        <v>233</v>
      </c>
      <c r="C6" s="29"/>
      <c r="D6" s="29"/>
      <c r="E6" s="29"/>
      <c r="F6" s="29"/>
      <c r="G6" s="29"/>
      <c r="H6" s="29"/>
    </row>
    <row r="7" customFormat="false" ht="19.5" hidden="false" customHeight="true" outlineLevel="0" collapsed="false">
      <c r="B7" s="29" t="s">
        <v>234</v>
      </c>
      <c r="C7" s="29"/>
      <c r="D7" s="29"/>
      <c r="E7" s="29"/>
      <c r="F7" s="29"/>
      <c r="G7" s="29"/>
      <c r="H7" s="29"/>
    </row>
    <row r="8" customFormat="false" ht="19.5" hidden="false" customHeight="true" outlineLevel="0" collapsed="false">
      <c r="B8" s="29" t="s">
        <v>235</v>
      </c>
      <c r="C8" s="29"/>
      <c r="D8" s="29"/>
      <c r="E8" s="29"/>
      <c r="F8" s="29"/>
      <c r="G8" s="29"/>
      <c r="H8" s="29"/>
    </row>
    <row r="9" customFormat="false" ht="19.5" hidden="false" customHeight="true" outlineLevel="0" collapsed="false">
      <c r="B9" s="29" t="s">
        <v>236</v>
      </c>
      <c r="C9" s="29"/>
      <c r="D9" s="29"/>
      <c r="E9" s="29"/>
      <c r="F9" s="29"/>
      <c r="G9" s="29"/>
      <c r="H9" s="29"/>
    </row>
    <row r="10" customFormat="false" ht="19.5" hidden="false" customHeight="true" outlineLevel="0" collapsed="false">
      <c r="B10" s="29" t="s">
        <v>237</v>
      </c>
      <c r="C10" s="29"/>
      <c r="D10" s="29"/>
      <c r="E10" s="29"/>
      <c r="F10" s="29"/>
      <c r="G10" s="29"/>
      <c r="H10" s="29"/>
    </row>
    <row r="12" customFormat="false" ht="24" hidden="false" customHeight="true" outlineLevel="0" collapsed="false">
      <c r="B12" s="28" t="s">
        <v>238</v>
      </c>
    </row>
    <row r="13" customFormat="false" ht="19.5" hidden="false" customHeight="true" outlineLevel="0" collapsed="false">
      <c r="B13" s="29" t="s">
        <v>239</v>
      </c>
      <c r="C13" s="29"/>
      <c r="D13" s="29"/>
      <c r="E13" s="29"/>
      <c r="F13" s="29"/>
      <c r="G13" s="29"/>
      <c r="H13" s="29"/>
    </row>
    <row r="14" customFormat="false" ht="19.5" hidden="false" customHeight="true" outlineLevel="0" collapsed="false">
      <c r="B14" s="29" t="s">
        <v>240</v>
      </c>
      <c r="C14" s="29"/>
      <c r="D14" s="29"/>
      <c r="E14" s="29"/>
      <c r="F14" s="29"/>
      <c r="G14" s="29"/>
      <c r="H14" s="29"/>
    </row>
    <row r="15" customFormat="false" ht="19.5" hidden="false" customHeight="true" outlineLevel="0" collapsed="false">
      <c r="B15" s="29" t="s">
        <v>241</v>
      </c>
      <c r="C15" s="29"/>
      <c r="D15" s="29"/>
      <c r="E15" s="29"/>
      <c r="F15" s="29"/>
      <c r="G15" s="29"/>
      <c r="H15" s="29"/>
    </row>
    <row r="16" customFormat="false" ht="19.5" hidden="false" customHeight="true" outlineLevel="0" collapsed="false">
      <c r="B16" s="29" t="s">
        <v>242</v>
      </c>
      <c r="C16" s="29"/>
      <c r="D16" s="29"/>
      <c r="E16" s="29"/>
      <c r="F16" s="29"/>
      <c r="G16" s="29"/>
      <c r="H16" s="29"/>
    </row>
    <row r="17" customFormat="false" ht="19.5" hidden="false" customHeight="true" outlineLevel="0" collapsed="false">
      <c r="B17" s="29" t="s">
        <v>243</v>
      </c>
      <c r="C17" s="29"/>
      <c r="D17" s="29"/>
      <c r="E17" s="29"/>
      <c r="F17" s="29"/>
      <c r="G17" s="29"/>
      <c r="H17" s="29"/>
    </row>
    <row r="19" customFormat="false" ht="24" hidden="false" customHeight="true" outlineLevel="0" collapsed="false">
      <c r="B19" s="28" t="s">
        <v>244</v>
      </c>
    </row>
    <row r="20" customFormat="false" ht="19.5" hidden="false" customHeight="true" outlineLevel="0" collapsed="false">
      <c r="B20" s="29" t="s">
        <v>245</v>
      </c>
      <c r="C20" s="29"/>
      <c r="D20" s="29"/>
      <c r="E20" s="29"/>
      <c r="F20" s="29"/>
      <c r="G20" s="29"/>
      <c r="H20" s="29"/>
    </row>
    <row r="21" customFormat="false" ht="19.5" hidden="false" customHeight="true" outlineLevel="0" collapsed="false">
      <c r="B21" s="29" t="s">
        <v>246</v>
      </c>
      <c r="C21" s="29"/>
      <c r="D21" s="29"/>
      <c r="E21" s="29"/>
      <c r="F21" s="29"/>
      <c r="G21" s="29"/>
      <c r="H21" s="29"/>
    </row>
    <row r="22" customFormat="false" ht="19.5" hidden="false" customHeight="true" outlineLevel="0" collapsed="false">
      <c r="B22" s="29" t="s">
        <v>247</v>
      </c>
      <c r="C22" s="29"/>
      <c r="D22" s="29"/>
      <c r="E22" s="29"/>
      <c r="F22" s="29"/>
      <c r="G22" s="29"/>
      <c r="H22" s="29"/>
    </row>
    <row r="23" customFormat="false" ht="19.5" hidden="false" customHeight="true" outlineLevel="0" collapsed="false">
      <c r="B23" s="29" t="s">
        <v>248</v>
      </c>
      <c r="C23" s="29"/>
      <c r="D23" s="29"/>
      <c r="E23" s="29"/>
      <c r="F23" s="29"/>
      <c r="G23" s="29"/>
      <c r="H23" s="29"/>
    </row>
    <row r="24" customFormat="false" ht="19.5" hidden="false" customHeight="true" outlineLevel="0" collapsed="false">
      <c r="B24" s="29" t="s">
        <v>249</v>
      </c>
      <c r="C24" s="29"/>
      <c r="D24" s="29"/>
      <c r="E24" s="29"/>
      <c r="F24" s="29"/>
      <c r="G24" s="29"/>
      <c r="H24" s="29"/>
    </row>
    <row r="26" customFormat="false" ht="24" hidden="false" customHeight="true" outlineLevel="0" collapsed="false">
      <c r="B26" s="28" t="s">
        <v>250</v>
      </c>
    </row>
    <row r="27" customFormat="false" ht="19.5" hidden="false" customHeight="true" outlineLevel="0" collapsed="false">
      <c r="B27" s="29" t="s">
        <v>251</v>
      </c>
      <c r="C27" s="29"/>
      <c r="D27" s="29"/>
      <c r="E27" s="29"/>
      <c r="F27" s="29"/>
      <c r="G27" s="29"/>
      <c r="H27" s="29"/>
    </row>
    <row r="28" customFormat="false" ht="19.5" hidden="false" customHeight="true" outlineLevel="0" collapsed="false">
      <c r="B28" s="29" t="s">
        <v>252</v>
      </c>
      <c r="C28" s="29"/>
      <c r="D28" s="29"/>
      <c r="E28" s="29"/>
      <c r="F28" s="29"/>
      <c r="G28" s="29"/>
      <c r="H28" s="29"/>
    </row>
    <row r="29" customFormat="false" ht="19.5" hidden="false" customHeight="true" outlineLevel="0" collapsed="false">
      <c r="B29" s="29" t="s">
        <v>253</v>
      </c>
      <c r="C29" s="29"/>
      <c r="D29" s="29"/>
      <c r="E29" s="29"/>
      <c r="F29" s="29"/>
      <c r="G29" s="29"/>
      <c r="H29" s="29"/>
    </row>
    <row r="30" customFormat="false" ht="19.5" hidden="false" customHeight="true" outlineLevel="0" collapsed="false">
      <c r="B30" s="29" t="s">
        <v>254</v>
      </c>
      <c r="C30" s="29"/>
      <c r="D30" s="29"/>
      <c r="E30" s="29"/>
      <c r="F30" s="29"/>
      <c r="G30" s="29"/>
      <c r="H30" s="29"/>
    </row>
  </sheetData>
  <mergeCells count="22">
    <mergeCell ref="B2:H2"/>
    <mergeCell ref="B3:H3"/>
    <mergeCell ref="B5:H5"/>
    <mergeCell ref="B6:H6"/>
    <mergeCell ref="B7:H7"/>
    <mergeCell ref="B8:H8"/>
    <mergeCell ref="B9:H9"/>
    <mergeCell ref="B10:H10"/>
    <mergeCell ref="B13:H13"/>
    <mergeCell ref="B14:H14"/>
    <mergeCell ref="B15:H15"/>
    <mergeCell ref="B16:H16"/>
    <mergeCell ref="B17:H17"/>
    <mergeCell ref="B20:H20"/>
    <mergeCell ref="B21:H21"/>
    <mergeCell ref="B22:H22"/>
    <mergeCell ref="B23:H23"/>
    <mergeCell ref="B24:H24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2026-10-15T14:51:13Z</dcterms:created>
  <dc:creator>Z.ai</dc:creator>
  <dc:description/>
  <dc:language>en-US</dc:language>
  <cp:lastModifiedBy/>
  <dcterms:modified xsi:type="dcterms:W3CDTF">2026-10-15T14:51:13Z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